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BD_ecotype\data_bulk\validation_cohort\metadata\进展预测RISK\GSE57945（初治队列）\"/>
    </mc:Choice>
  </mc:AlternateContent>
  <xr:revisionPtr revIDLastSave="0" documentId="13_ncr:1_{4814F5FC-B30E-4F16-9B3C-4E3CA0E4396D}" xr6:coauthVersionLast="47" xr6:coauthVersionMax="47" xr10:uidLastSave="{00000000-0000-0000-0000-000000000000}"/>
  <bookViews>
    <workbookView xWindow="675" yWindow="1778" windowWidth="9225" windowHeight="10732" firstSheet="3" activeTab="3" xr2:uid="{00000000-000D-0000-FFFF-FFFF00000000}"/>
  </bookViews>
  <sheets>
    <sheet name="表注" sheetId="1" r:id="rId1"/>
    <sheet name="RISK进展队列GEO回末测序数据整理" sheetId="2" r:id="rId2"/>
    <sheet name="RISK队列基线数据特征" sheetId="3" r:id="rId3"/>
    <sheet name="RISK回末数据统计特征" sheetId="4" r:id="rId4"/>
    <sheet name="RISK队列相关统计数据" sheetId="5" r:id="rId5"/>
  </sheets>
  <definedNames>
    <definedName name="_xlnm.Print_Area" localSheetId="3">RISK回末数据统计特征!$A$1:$G$22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24" i="5" l="1"/>
  <c r="W324" i="5"/>
  <c r="V324" i="5"/>
  <c r="U324" i="5"/>
  <c r="T324" i="5"/>
  <c r="S324" i="5"/>
  <c r="R324" i="5"/>
  <c r="Q324" i="5"/>
  <c r="P324" i="5"/>
  <c r="X323" i="5"/>
  <c r="W323" i="5"/>
  <c r="V323" i="5"/>
  <c r="U323" i="5"/>
  <c r="T323" i="5"/>
  <c r="S323" i="5"/>
  <c r="R323" i="5"/>
  <c r="Q323" i="5"/>
  <c r="P323" i="5"/>
  <c r="X322" i="5"/>
  <c r="W322" i="5"/>
  <c r="V322" i="5"/>
  <c r="U322" i="5"/>
  <c r="T322" i="5"/>
  <c r="S322" i="5"/>
  <c r="R322" i="5"/>
  <c r="Q322" i="5"/>
  <c r="P322" i="5"/>
  <c r="X321" i="5"/>
  <c r="W321" i="5"/>
  <c r="V321" i="5"/>
  <c r="U321" i="5"/>
  <c r="T321" i="5"/>
  <c r="S321" i="5"/>
  <c r="R321" i="5"/>
  <c r="Q321" i="5"/>
  <c r="P321" i="5"/>
  <c r="X320" i="5"/>
  <c r="W320" i="5"/>
  <c r="V320" i="5"/>
  <c r="U320" i="5"/>
  <c r="T320" i="5"/>
  <c r="S320" i="5"/>
  <c r="R320" i="5"/>
  <c r="Q320" i="5"/>
  <c r="P320" i="5"/>
  <c r="X319" i="5"/>
  <c r="W319" i="5"/>
  <c r="V319" i="5"/>
  <c r="U319" i="5"/>
  <c r="T319" i="5"/>
  <c r="S319" i="5"/>
  <c r="R319" i="5"/>
  <c r="Q319" i="5"/>
  <c r="P319" i="5"/>
  <c r="X318" i="5"/>
  <c r="W318" i="5"/>
  <c r="V318" i="5"/>
  <c r="U318" i="5"/>
  <c r="T318" i="5"/>
  <c r="S318" i="5"/>
  <c r="R318" i="5"/>
  <c r="Q318" i="5"/>
  <c r="P318" i="5"/>
  <c r="X317" i="5"/>
  <c r="W317" i="5"/>
  <c r="V317" i="5"/>
  <c r="U317" i="5"/>
  <c r="T317" i="5"/>
  <c r="S317" i="5"/>
  <c r="R317" i="5"/>
  <c r="Q317" i="5"/>
  <c r="P317" i="5"/>
  <c r="X316" i="5"/>
  <c r="W316" i="5"/>
  <c r="V316" i="5"/>
  <c r="U316" i="5"/>
  <c r="T316" i="5"/>
  <c r="S316" i="5"/>
  <c r="R316" i="5"/>
  <c r="Q316" i="5"/>
  <c r="P316" i="5"/>
  <c r="X315" i="5"/>
  <c r="W315" i="5"/>
  <c r="V315" i="5"/>
  <c r="U315" i="5"/>
  <c r="T315" i="5"/>
  <c r="S315" i="5"/>
  <c r="R315" i="5"/>
  <c r="Q315" i="5"/>
  <c r="P315" i="5"/>
  <c r="X314" i="5"/>
  <c r="W314" i="5"/>
  <c r="V314" i="5"/>
  <c r="U314" i="5"/>
  <c r="T314" i="5"/>
  <c r="S314" i="5"/>
  <c r="R314" i="5"/>
  <c r="Q314" i="5"/>
  <c r="P314" i="5"/>
  <c r="X313" i="5"/>
  <c r="W313" i="5"/>
  <c r="V313" i="5"/>
  <c r="U313" i="5"/>
  <c r="T313" i="5"/>
  <c r="S313" i="5"/>
  <c r="R313" i="5"/>
  <c r="Q313" i="5"/>
  <c r="P313" i="5"/>
  <c r="X312" i="5"/>
  <c r="W312" i="5"/>
  <c r="V312" i="5"/>
  <c r="U312" i="5"/>
  <c r="T312" i="5"/>
  <c r="S312" i="5"/>
  <c r="R312" i="5"/>
  <c r="Q312" i="5"/>
  <c r="P312" i="5"/>
  <c r="X311" i="5"/>
  <c r="W311" i="5"/>
  <c r="V311" i="5"/>
  <c r="U311" i="5"/>
  <c r="T311" i="5"/>
  <c r="S311" i="5"/>
  <c r="R311" i="5"/>
  <c r="Q311" i="5"/>
  <c r="P311" i="5"/>
  <c r="X310" i="5"/>
  <c r="W310" i="5"/>
  <c r="V310" i="5"/>
  <c r="U310" i="5"/>
  <c r="T310" i="5"/>
  <c r="S310" i="5"/>
  <c r="R310" i="5"/>
  <c r="Q310" i="5"/>
  <c r="P310" i="5"/>
  <c r="X309" i="5"/>
  <c r="W309" i="5"/>
  <c r="V309" i="5"/>
  <c r="U309" i="5"/>
  <c r="T309" i="5"/>
  <c r="S309" i="5"/>
  <c r="R309" i="5"/>
  <c r="Q309" i="5"/>
  <c r="P309" i="5"/>
  <c r="X308" i="5"/>
  <c r="W308" i="5"/>
  <c r="V308" i="5"/>
  <c r="U308" i="5"/>
  <c r="T308" i="5"/>
  <c r="S308" i="5"/>
  <c r="R308" i="5"/>
  <c r="Q308" i="5"/>
  <c r="P308" i="5"/>
  <c r="X307" i="5"/>
  <c r="W307" i="5"/>
  <c r="V307" i="5"/>
  <c r="U307" i="5"/>
  <c r="T307" i="5"/>
  <c r="S307" i="5"/>
  <c r="R307" i="5"/>
  <c r="Q307" i="5"/>
  <c r="P307" i="5"/>
  <c r="X306" i="5"/>
  <c r="W306" i="5"/>
  <c r="V306" i="5"/>
  <c r="U306" i="5"/>
  <c r="T306" i="5"/>
  <c r="S306" i="5"/>
  <c r="R306" i="5"/>
  <c r="Q306" i="5"/>
  <c r="P306" i="5"/>
  <c r="X305" i="5"/>
  <c r="W305" i="5"/>
  <c r="V305" i="5"/>
  <c r="U305" i="5"/>
  <c r="T305" i="5"/>
  <c r="S305" i="5"/>
  <c r="R305" i="5"/>
  <c r="Q305" i="5"/>
  <c r="P305" i="5"/>
  <c r="X304" i="5"/>
  <c r="W304" i="5"/>
  <c r="V304" i="5"/>
  <c r="U304" i="5"/>
  <c r="T304" i="5"/>
  <c r="S304" i="5"/>
  <c r="R304" i="5"/>
  <c r="Q304" i="5"/>
  <c r="P304" i="5"/>
  <c r="X303" i="5"/>
  <c r="W303" i="5"/>
  <c r="V303" i="5"/>
  <c r="U303" i="5"/>
  <c r="T303" i="5"/>
  <c r="S303" i="5"/>
  <c r="R303" i="5"/>
  <c r="Q303" i="5"/>
  <c r="P303" i="5"/>
  <c r="X302" i="5"/>
  <c r="W302" i="5"/>
  <c r="V302" i="5"/>
  <c r="U302" i="5"/>
  <c r="T302" i="5"/>
  <c r="S302" i="5"/>
  <c r="R302" i="5"/>
  <c r="Q302" i="5"/>
  <c r="P302" i="5"/>
  <c r="X301" i="5"/>
  <c r="W301" i="5"/>
  <c r="V301" i="5"/>
  <c r="U301" i="5"/>
  <c r="T301" i="5"/>
  <c r="S301" i="5"/>
  <c r="R301" i="5"/>
  <c r="Q301" i="5"/>
  <c r="P301" i="5"/>
  <c r="X300" i="5"/>
  <c r="W300" i="5"/>
  <c r="V300" i="5"/>
  <c r="U300" i="5"/>
  <c r="T300" i="5"/>
  <c r="S300" i="5"/>
  <c r="R300" i="5"/>
  <c r="Q300" i="5"/>
  <c r="P300" i="5"/>
  <c r="X299" i="5"/>
  <c r="W299" i="5"/>
  <c r="V299" i="5"/>
  <c r="U299" i="5"/>
  <c r="T299" i="5"/>
  <c r="S299" i="5"/>
  <c r="R299" i="5"/>
  <c r="Q299" i="5"/>
  <c r="P299" i="5"/>
  <c r="X298" i="5"/>
  <c r="W298" i="5"/>
  <c r="V298" i="5"/>
  <c r="U298" i="5"/>
  <c r="T298" i="5"/>
  <c r="S298" i="5"/>
  <c r="R298" i="5"/>
  <c r="Q298" i="5"/>
  <c r="P298" i="5"/>
  <c r="X297" i="5"/>
  <c r="W297" i="5"/>
  <c r="V297" i="5"/>
  <c r="U297" i="5"/>
  <c r="T297" i="5"/>
  <c r="S297" i="5"/>
  <c r="R297" i="5"/>
  <c r="Q297" i="5"/>
  <c r="P297" i="5"/>
  <c r="X296" i="5"/>
  <c r="W296" i="5"/>
  <c r="V296" i="5"/>
  <c r="U296" i="5"/>
  <c r="T296" i="5"/>
  <c r="S296" i="5"/>
  <c r="R296" i="5"/>
  <c r="Q296" i="5"/>
  <c r="P296" i="5"/>
  <c r="X295" i="5"/>
  <c r="W295" i="5"/>
  <c r="V295" i="5"/>
  <c r="U295" i="5"/>
  <c r="T295" i="5"/>
  <c r="S295" i="5"/>
  <c r="R295" i="5"/>
  <c r="Q295" i="5"/>
  <c r="P295" i="5"/>
  <c r="X294" i="5"/>
  <c r="W294" i="5"/>
  <c r="V294" i="5"/>
  <c r="U294" i="5"/>
  <c r="T294" i="5"/>
  <c r="S294" i="5"/>
  <c r="R294" i="5"/>
  <c r="Q294" i="5"/>
  <c r="P294" i="5"/>
  <c r="X293" i="5"/>
  <c r="W293" i="5"/>
  <c r="V293" i="5"/>
  <c r="U293" i="5"/>
  <c r="T293" i="5"/>
  <c r="S293" i="5"/>
  <c r="R293" i="5"/>
  <c r="Q293" i="5"/>
  <c r="P293" i="5"/>
  <c r="X292" i="5"/>
  <c r="W292" i="5"/>
  <c r="V292" i="5"/>
  <c r="U292" i="5"/>
  <c r="T292" i="5"/>
  <c r="S292" i="5"/>
  <c r="R292" i="5"/>
  <c r="Q292" i="5"/>
  <c r="P292" i="5"/>
  <c r="X291" i="5"/>
  <c r="W291" i="5"/>
  <c r="V291" i="5"/>
  <c r="U291" i="5"/>
  <c r="T291" i="5"/>
  <c r="S291" i="5"/>
  <c r="R291" i="5"/>
  <c r="Q291" i="5"/>
  <c r="P291" i="5"/>
  <c r="X290" i="5"/>
  <c r="W290" i="5"/>
  <c r="V290" i="5"/>
  <c r="U290" i="5"/>
  <c r="T290" i="5"/>
  <c r="S290" i="5"/>
  <c r="R290" i="5"/>
  <c r="Q290" i="5"/>
  <c r="P290" i="5"/>
  <c r="X289" i="5"/>
  <c r="W289" i="5"/>
  <c r="V289" i="5"/>
  <c r="U289" i="5"/>
  <c r="T289" i="5"/>
  <c r="S289" i="5"/>
  <c r="R289" i="5"/>
  <c r="Q289" i="5"/>
  <c r="P289" i="5"/>
  <c r="X288" i="5"/>
  <c r="W288" i="5"/>
  <c r="V288" i="5"/>
  <c r="U288" i="5"/>
  <c r="T288" i="5"/>
  <c r="S288" i="5"/>
  <c r="R288" i="5"/>
  <c r="Q288" i="5"/>
  <c r="P288" i="5"/>
  <c r="X287" i="5"/>
  <c r="W287" i="5"/>
  <c r="V287" i="5"/>
  <c r="U287" i="5"/>
  <c r="T287" i="5"/>
  <c r="S287" i="5"/>
  <c r="R287" i="5"/>
  <c r="Q287" i="5"/>
  <c r="P287" i="5"/>
  <c r="X286" i="5"/>
  <c r="W286" i="5"/>
  <c r="V286" i="5"/>
  <c r="U286" i="5"/>
  <c r="T286" i="5"/>
  <c r="S286" i="5"/>
  <c r="R286" i="5"/>
  <c r="Q286" i="5"/>
  <c r="P286" i="5"/>
  <c r="X285" i="5"/>
  <c r="W285" i="5"/>
  <c r="V285" i="5"/>
  <c r="U285" i="5"/>
  <c r="T285" i="5"/>
  <c r="S285" i="5"/>
  <c r="R285" i="5"/>
  <c r="Q285" i="5"/>
  <c r="P285" i="5"/>
  <c r="X284" i="5"/>
  <c r="W284" i="5"/>
  <c r="V284" i="5"/>
  <c r="U284" i="5"/>
  <c r="T284" i="5"/>
  <c r="S284" i="5"/>
  <c r="R284" i="5"/>
  <c r="Q284" i="5"/>
  <c r="P284" i="5"/>
  <c r="X283" i="5"/>
  <c r="W283" i="5"/>
  <c r="V283" i="5"/>
  <c r="U283" i="5"/>
  <c r="T283" i="5"/>
  <c r="S283" i="5"/>
  <c r="R283" i="5"/>
  <c r="Q283" i="5"/>
  <c r="P283" i="5"/>
  <c r="X282" i="5"/>
  <c r="W282" i="5"/>
  <c r="V282" i="5"/>
  <c r="U282" i="5"/>
  <c r="T282" i="5"/>
  <c r="S282" i="5"/>
  <c r="R282" i="5"/>
  <c r="Q282" i="5"/>
  <c r="P282" i="5"/>
  <c r="X281" i="5"/>
  <c r="W281" i="5"/>
  <c r="V281" i="5"/>
  <c r="U281" i="5"/>
  <c r="T281" i="5"/>
  <c r="S281" i="5"/>
  <c r="R281" i="5"/>
  <c r="Q281" i="5"/>
  <c r="P281" i="5"/>
  <c r="X280" i="5"/>
  <c r="W280" i="5"/>
  <c r="V280" i="5"/>
  <c r="U280" i="5"/>
  <c r="T280" i="5"/>
  <c r="S280" i="5"/>
  <c r="R280" i="5"/>
  <c r="Q280" i="5"/>
  <c r="P280" i="5"/>
  <c r="X279" i="5"/>
  <c r="W279" i="5"/>
  <c r="V279" i="5"/>
  <c r="U279" i="5"/>
  <c r="T279" i="5"/>
  <c r="S279" i="5"/>
  <c r="R279" i="5"/>
  <c r="Q279" i="5"/>
  <c r="P279" i="5"/>
  <c r="X278" i="5"/>
  <c r="W278" i="5"/>
  <c r="V278" i="5"/>
  <c r="U278" i="5"/>
  <c r="T278" i="5"/>
  <c r="S278" i="5"/>
  <c r="R278" i="5"/>
  <c r="Q278" i="5"/>
  <c r="P278" i="5"/>
  <c r="X277" i="5"/>
  <c r="W277" i="5"/>
  <c r="V277" i="5"/>
  <c r="U277" i="5"/>
  <c r="T277" i="5"/>
  <c r="S277" i="5"/>
  <c r="R277" i="5"/>
  <c r="Q277" i="5"/>
  <c r="P277" i="5"/>
  <c r="X276" i="5"/>
  <c r="W276" i="5"/>
  <c r="V276" i="5"/>
  <c r="U276" i="5"/>
  <c r="T276" i="5"/>
  <c r="S276" i="5"/>
  <c r="R276" i="5"/>
  <c r="Q276" i="5"/>
  <c r="P276" i="5"/>
  <c r="X275" i="5"/>
  <c r="W275" i="5"/>
  <c r="V275" i="5"/>
  <c r="U275" i="5"/>
  <c r="T275" i="5"/>
  <c r="S275" i="5"/>
  <c r="R275" i="5"/>
  <c r="Q275" i="5"/>
  <c r="P275" i="5"/>
  <c r="X274" i="5"/>
  <c r="W274" i="5"/>
  <c r="V274" i="5"/>
  <c r="U274" i="5"/>
  <c r="T274" i="5"/>
  <c r="S274" i="5"/>
  <c r="R274" i="5"/>
  <c r="Q274" i="5"/>
  <c r="P274" i="5"/>
  <c r="X273" i="5"/>
  <c r="W273" i="5"/>
  <c r="V273" i="5"/>
  <c r="U273" i="5"/>
  <c r="T273" i="5"/>
  <c r="S273" i="5"/>
  <c r="R273" i="5"/>
  <c r="Q273" i="5"/>
  <c r="P273" i="5"/>
  <c r="X272" i="5"/>
  <c r="W272" i="5"/>
  <c r="V272" i="5"/>
  <c r="U272" i="5"/>
  <c r="T272" i="5"/>
  <c r="S272" i="5"/>
  <c r="R272" i="5"/>
  <c r="Q272" i="5"/>
  <c r="P272" i="5"/>
  <c r="X271" i="5"/>
  <c r="W271" i="5"/>
  <c r="V271" i="5"/>
  <c r="U271" i="5"/>
  <c r="T271" i="5"/>
  <c r="S271" i="5"/>
  <c r="R271" i="5"/>
  <c r="Q271" i="5"/>
  <c r="P271" i="5"/>
  <c r="X270" i="5"/>
  <c r="W270" i="5"/>
  <c r="V270" i="5"/>
  <c r="U270" i="5"/>
  <c r="T270" i="5"/>
  <c r="S270" i="5"/>
  <c r="R270" i="5"/>
  <c r="Q270" i="5"/>
  <c r="P270" i="5"/>
  <c r="X269" i="5"/>
  <c r="W269" i="5"/>
  <c r="V269" i="5"/>
  <c r="U269" i="5"/>
  <c r="T269" i="5"/>
  <c r="S269" i="5"/>
  <c r="R269" i="5"/>
  <c r="Q269" i="5"/>
  <c r="P269" i="5"/>
  <c r="X268" i="5"/>
  <c r="W268" i="5"/>
  <c r="V268" i="5"/>
  <c r="U268" i="5"/>
  <c r="T268" i="5"/>
  <c r="S268" i="5"/>
  <c r="R268" i="5"/>
  <c r="Q268" i="5"/>
  <c r="P268" i="5"/>
  <c r="X267" i="5"/>
  <c r="W267" i="5"/>
  <c r="V267" i="5"/>
  <c r="U267" i="5"/>
  <c r="T267" i="5"/>
  <c r="S267" i="5"/>
  <c r="R267" i="5"/>
  <c r="Q267" i="5"/>
  <c r="P267" i="5"/>
  <c r="X266" i="5"/>
  <c r="W266" i="5"/>
  <c r="V266" i="5"/>
  <c r="U266" i="5"/>
  <c r="T266" i="5"/>
  <c r="S266" i="5"/>
  <c r="R266" i="5"/>
  <c r="Q266" i="5"/>
  <c r="P266" i="5"/>
  <c r="X265" i="5"/>
  <c r="W265" i="5"/>
  <c r="V265" i="5"/>
  <c r="U265" i="5"/>
  <c r="T265" i="5"/>
  <c r="S265" i="5"/>
  <c r="R265" i="5"/>
  <c r="Q265" i="5"/>
  <c r="P265" i="5"/>
  <c r="X264" i="5"/>
  <c r="W264" i="5"/>
  <c r="V264" i="5"/>
  <c r="U264" i="5"/>
  <c r="T264" i="5"/>
  <c r="S264" i="5"/>
  <c r="R264" i="5"/>
  <c r="Q264" i="5"/>
  <c r="P264" i="5"/>
  <c r="X263" i="5"/>
  <c r="W263" i="5"/>
  <c r="V263" i="5"/>
  <c r="U263" i="5"/>
  <c r="T263" i="5"/>
  <c r="S263" i="5"/>
  <c r="R263" i="5"/>
  <c r="Q263" i="5"/>
  <c r="P263" i="5"/>
  <c r="X262" i="5"/>
  <c r="W262" i="5"/>
  <c r="V262" i="5"/>
  <c r="U262" i="5"/>
  <c r="T262" i="5"/>
  <c r="S262" i="5"/>
  <c r="R262" i="5"/>
  <c r="Q262" i="5"/>
  <c r="P262" i="5"/>
  <c r="X261" i="5"/>
  <c r="W261" i="5"/>
  <c r="V261" i="5"/>
  <c r="U261" i="5"/>
  <c r="T261" i="5"/>
  <c r="S261" i="5"/>
  <c r="R261" i="5"/>
  <c r="Q261" i="5"/>
  <c r="P261" i="5"/>
  <c r="X260" i="5"/>
  <c r="W260" i="5"/>
  <c r="V260" i="5"/>
  <c r="U260" i="5"/>
  <c r="T260" i="5"/>
  <c r="S260" i="5"/>
  <c r="R260" i="5"/>
  <c r="Q260" i="5"/>
  <c r="P260" i="5"/>
  <c r="X259" i="5"/>
  <c r="W259" i="5"/>
  <c r="V259" i="5"/>
  <c r="U259" i="5"/>
  <c r="T259" i="5"/>
  <c r="S259" i="5"/>
  <c r="R259" i="5"/>
  <c r="Q259" i="5"/>
  <c r="P259" i="5"/>
  <c r="X258" i="5"/>
  <c r="W258" i="5"/>
  <c r="V258" i="5"/>
  <c r="U258" i="5"/>
  <c r="T258" i="5"/>
  <c r="S258" i="5"/>
  <c r="R258" i="5"/>
  <c r="Q258" i="5"/>
  <c r="P258" i="5"/>
  <c r="X257" i="5"/>
  <c r="W257" i="5"/>
  <c r="V257" i="5"/>
  <c r="U257" i="5"/>
  <c r="T257" i="5"/>
  <c r="S257" i="5"/>
  <c r="R257" i="5"/>
  <c r="Q257" i="5"/>
  <c r="P257" i="5"/>
  <c r="X256" i="5"/>
  <c r="W256" i="5"/>
  <c r="V256" i="5"/>
  <c r="U256" i="5"/>
  <c r="T256" i="5"/>
  <c r="S256" i="5"/>
  <c r="R256" i="5"/>
  <c r="Q256" i="5"/>
  <c r="P256" i="5"/>
  <c r="X255" i="5"/>
  <c r="W255" i="5"/>
  <c r="V255" i="5"/>
  <c r="U255" i="5"/>
  <c r="T255" i="5"/>
  <c r="S255" i="5"/>
  <c r="R255" i="5"/>
  <c r="Q255" i="5"/>
  <c r="P255" i="5"/>
  <c r="X254" i="5"/>
  <c r="W254" i="5"/>
  <c r="V254" i="5"/>
  <c r="U254" i="5"/>
  <c r="T254" i="5"/>
  <c r="S254" i="5"/>
  <c r="R254" i="5"/>
  <c r="Q254" i="5"/>
  <c r="P254" i="5"/>
  <c r="X253" i="5"/>
  <c r="W253" i="5"/>
  <c r="V253" i="5"/>
  <c r="U253" i="5"/>
  <c r="T253" i="5"/>
  <c r="S253" i="5"/>
  <c r="R253" i="5"/>
  <c r="Q253" i="5"/>
  <c r="P253" i="5"/>
  <c r="X252" i="5"/>
  <c r="W252" i="5"/>
  <c r="V252" i="5"/>
  <c r="U252" i="5"/>
  <c r="T252" i="5"/>
  <c r="S252" i="5"/>
  <c r="R252" i="5"/>
  <c r="Q252" i="5"/>
  <c r="P252" i="5"/>
  <c r="X251" i="5"/>
  <c r="W251" i="5"/>
  <c r="V251" i="5"/>
  <c r="U251" i="5"/>
  <c r="T251" i="5"/>
  <c r="S251" i="5"/>
  <c r="R251" i="5"/>
  <c r="Q251" i="5"/>
  <c r="P251" i="5"/>
  <c r="X250" i="5"/>
  <c r="W250" i="5"/>
  <c r="V250" i="5"/>
  <c r="U250" i="5"/>
  <c r="T250" i="5"/>
  <c r="S250" i="5"/>
  <c r="R250" i="5"/>
  <c r="Q250" i="5"/>
  <c r="P250" i="5"/>
  <c r="X249" i="5"/>
  <c r="W249" i="5"/>
  <c r="V249" i="5"/>
  <c r="U249" i="5"/>
  <c r="T249" i="5"/>
  <c r="S249" i="5"/>
  <c r="R249" i="5"/>
  <c r="Q249" i="5"/>
  <c r="P249" i="5"/>
  <c r="X248" i="5"/>
  <c r="W248" i="5"/>
  <c r="V248" i="5"/>
  <c r="U248" i="5"/>
  <c r="T248" i="5"/>
  <c r="S248" i="5"/>
  <c r="R248" i="5"/>
  <c r="Q248" i="5"/>
  <c r="P248" i="5"/>
  <c r="X247" i="5"/>
  <c r="W247" i="5"/>
  <c r="V247" i="5"/>
  <c r="U247" i="5"/>
  <c r="T247" i="5"/>
  <c r="S247" i="5"/>
  <c r="R247" i="5"/>
  <c r="Q247" i="5"/>
  <c r="P247" i="5"/>
  <c r="X246" i="5"/>
  <c r="W246" i="5"/>
  <c r="V246" i="5"/>
  <c r="U246" i="5"/>
  <c r="T246" i="5"/>
  <c r="S246" i="5"/>
  <c r="R246" i="5"/>
  <c r="Q246" i="5"/>
  <c r="P246" i="5"/>
  <c r="X245" i="5"/>
  <c r="W245" i="5"/>
  <c r="V245" i="5"/>
  <c r="U245" i="5"/>
  <c r="T245" i="5"/>
  <c r="S245" i="5"/>
  <c r="R245" i="5"/>
  <c r="Q245" i="5"/>
  <c r="P245" i="5"/>
  <c r="X244" i="5"/>
  <c r="W244" i="5"/>
  <c r="V244" i="5"/>
  <c r="U244" i="5"/>
  <c r="T244" i="5"/>
  <c r="S244" i="5"/>
  <c r="R244" i="5"/>
  <c r="Q244" i="5"/>
  <c r="P244" i="5"/>
  <c r="X243" i="5"/>
  <c r="W243" i="5"/>
  <c r="V243" i="5"/>
  <c r="U243" i="5"/>
  <c r="T243" i="5"/>
  <c r="S243" i="5"/>
  <c r="R243" i="5"/>
  <c r="Q243" i="5"/>
  <c r="P243" i="5"/>
  <c r="X242" i="5"/>
  <c r="W242" i="5"/>
  <c r="V242" i="5"/>
  <c r="U242" i="5"/>
  <c r="T242" i="5"/>
  <c r="S242" i="5"/>
  <c r="R242" i="5"/>
  <c r="Q242" i="5"/>
  <c r="P242" i="5"/>
  <c r="X241" i="5"/>
  <c r="W241" i="5"/>
  <c r="V241" i="5"/>
  <c r="U241" i="5"/>
  <c r="T241" i="5"/>
  <c r="S241" i="5"/>
  <c r="R241" i="5"/>
  <c r="Q241" i="5"/>
  <c r="P241" i="5"/>
  <c r="X240" i="5"/>
  <c r="W240" i="5"/>
  <c r="V240" i="5"/>
  <c r="U240" i="5"/>
  <c r="T240" i="5"/>
  <c r="S240" i="5"/>
  <c r="R240" i="5"/>
  <c r="Q240" i="5"/>
  <c r="P240" i="5"/>
  <c r="X239" i="5"/>
  <c r="W239" i="5"/>
  <c r="V239" i="5"/>
  <c r="U239" i="5"/>
  <c r="T239" i="5"/>
  <c r="S239" i="5"/>
  <c r="R239" i="5"/>
  <c r="Q239" i="5"/>
  <c r="P239" i="5"/>
  <c r="X238" i="5"/>
  <c r="W238" i="5"/>
  <c r="V238" i="5"/>
  <c r="U238" i="5"/>
  <c r="T238" i="5"/>
  <c r="S238" i="5"/>
  <c r="R238" i="5"/>
  <c r="Q238" i="5"/>
  <c r="P238" i="5"/>
  <c r="X237" i="5"/>
  <c r="W237" i="5"/>
  <c r="V237" i="5"/>
  <c r="U237" i="5"/>
  <c r="T237" i="5"/>
  <c r="S237" i="5"/>
  <c r="R237" i="5"/>
  <c r="Q237" i="5"/>
  <c r="P237" i="5"/>
  <c r="X236" i="5"/>
  <c r="W236" i="5"/>
  <c r="V236" i="5"/>
  <c r="U236" i="5"/>
  <c r="T236" i="5"/>
  <c r="S236" i="5"/>
  <c r="R236" i="5"/>
  <c r="Q236" i="5"/>
  <c r="P236" i="5"/>
  <c r="X235" i="5"/>
  <c r="W235" i="5"/>
  <c r="V235" i="5"/>
  <c r="U235" i="5"/>
  <c r="T235" i="5"/>
  <c r="S235" i="5"/>
  <c r="R235" i="5"/>
  <c r="Q235" i="5"/>
  <c r="P235" i="5"/>
  <c r="X234" i="5"/>
  <c r="W234" i="5"/>
  <c r="V234" i="5"/>
  <c r="U234" i="5"/>
  <c r="T234" i="5"/>
  <c r="S234" i="5"/>
  <c r="R234" i="5"/>
  <c r="Q234" i="5"/>
  <c r="P234" i="5"/>
  <c r="X233" i="5"/>
  <c r="W233" i="5"/>
  <c r="V233" i="5"/>
  <c r="U233" i="5"/>
  <c r="T233" i="5"/>
  <c r="S233" i="5"/>
  <c r="R233" i="5"/>
  <c r="Q233" i="5"/>
  <c r="P233" i="5"/>
  <c r="X232" i="5"/>
  <c r="W232" i="5"/>
  <c r="V232" i="5"/>
  <c r="U232" i="5"/>
  <c r="T232" i="5"/>
  <c r="S232" i="5"/>
  <c r="R232" i="5"/>
  <c r="Q232" i="5"/>
  <c r="P232" i="5"/>
  <c r="X231" i="5"/>
  <c r="W231" i="5"/>
  <c r="V231" i="5"/>
  <c r="U231" i="5"/>
  <c r="T231" i="5"/>
  <c r="S231" i="5"/>
  <c r="R231" i="5"/>
  <c r="Q231" i="5"/>
  <c r="P231" i="5"/>
  <c r="X230" i="5"/>
  <c r="W230" i="5"/>
  <c r="V230" i="5"/>
  <c r="U230" i="5"/>
  <c r="T230" i="5"/>
  <c r="S230" i="5"/>
  <c r="R230" i="5"/>
  <c r="Q230" i="5"/>
  <c r="P230" i="5"/>
  <c r="X229" i="5"/>
  <c r="W229" i="5"/>
  <c r="V229" i="5"/>
  <c r="U229" i="5"/>
  <c r="T229" i="5"/>
  <c r="S229" i="5"/>
  <c r="R229" i="5"/>
  <c r="Q229" i="5"/>
  <c r="P229" i="5"/>
  <c r="X228" i="5"/>
  <c r="W228" i="5"/>
  <c r="V228" i="5"/>
  <c r="U228" i="5"/>
  <c r="T228" i="5"/>
  <c r="S228" i="5"/>
  <c r="R228" i="5"/>
  <c r="Q228" i="5"/>
  <c r="P228" i="5"/>
  <c r="X227" i="5"/>
  <c r="W227" i="5"/>
  <c r="V227" i="5"/>
  <c r="U227" i="5"/>
  <c r="T227" i="5"/>
  <c r="S227" i="5"/>
  <c r="R227" i="5"/>
  <c r="Q227" i="5"/>
  <c r="P227" i="5"/>
  <c r="X226" i="5"/>
  <c r="W226" i="5"/>
  <c r="V226" i="5"/>
  <c r="U226" i="5"/>
  <c r="T226" i="5"/>
  <c r="S226" i="5"/>
  <c r="R226" i="5"/>
  <c r="Q226" i="5"/>
  <c r="P226" i="5"/>
  <c r="X225" i="5"/>
  <c r="W225" i="5"/>
  <c r="V225" i="5"/>
  <c r="U225" i="5"/>
  <c r="T225" i="5"/>
  <c r="S225" i="5"/>
  <c r="R225" i="5"/>
  <c r="Q225" i="5"/>
  <c r="P225" i="5"/>
  <c r="X224" i="5"/>
  <c r="W224" i="5"/>
  <c r="V224" i="5"/>
  <c r="U224" i="5"/>
  <c r="T224" i="5"/>
  <c r="S224" i="5"/>
  <c r="R224" i="5"/>
  <c r="Q224" i="5"/>
  <c r="P224" i="5"/>
  <c r="X223" i="5"/>
  <c r="W223" i="5"/>
  <c r="V223" i="5"/>
  <c r="U223" i="5"/>
  <c r="T223" i="5"/>
  <c r="S223" i="5"/>
  <c r="R223" i="5"/>
  <c r="Q223" i="5"/>
  <c r="P223" i="5"/>
  <c r="X222" i="5"/>
  <c r="W222" i="5"/>
  <c r="V222" i="5"/>
  <c r="U222" i="5"/>
  <c r="T222" i="5"/>
  <c r="S222" i="5"/>
  <c r="R222" i="5"/>
  <c r="Q222" i="5"/>
  <c r="P222" i="5"/>
  <c r="X221" i="5"/>
  <c r="W221" i="5"/>
  <c r="V221" i="5"/>
  <c r="U221" i="5"/>
  <c r="T221" i="5"/>
  <c r="S221" i="5"/>
  <c r="R221" i="5"/>
  <c r="Q221" i="5"/>
  <c r="P221" i="5"/>
  <c r="X220" i="5"/>
  <c r="W220" i="5"/>
  <c r="V220" i="5"/>
  <c r="U220" i="5"/>
  <c r="T220" i="5"/>
  <c r="S220" i="5"/>
  <c r="R220" i="5"/>
  <c r="Q220" i="5"/>
  <c r="P220" i="5"/>
  <c r="X219" i="5"/>
  <c r="W219" i="5"/>
  <c r="V219" i="5"/>
  <c r="U219" i="5"/>
  <c r="T219" i="5"/>
  <c r="S219" i="5"/>
  <c r="R219" i="5"/>
  <c r="Q219" i="5"/>
  <c r="P219" i="5"/>
  <c r="X218" i="5"/>
  <c r="W218" i="5"/>
  <c r="V218" i="5"/>
  <c r="U218" i="5"/>
  <c r="T218" i="5"/>
  <c r="S218" i="5"/>
  <c r="R218" i="5"/>
  <c r="Q218" i="5"/>
  <c r="P218" i="5"/>
  <c r="X217" i="5"/>
  <c r="W217" i="5"/>
  <c r="V217" i="5"/>
  <c r="U217" i="5"/>
  <c r="T217" i="5"/>
  <c r="S217" i="5"/>
  <c r="R217" i="5"/>
  <c r="Q217" i="5"/>
  <c r="P217" i="5"/>
  <c r="X216" i="5"/>
  <c r="W216" i="5"/>
  <c r="V216" i="5"/>
  <c r="U216" i="5"/>
  <c r="T216" i="5"/>
  <c r="S216" i="5"/>
  <c r="R216" i="5"/>
  <c r="Q216" i="5"/>
  <c r="P216" i="5"/>
  <c r="X215" i="5"/>
  <c r="W215" i="5"/>
  <c r="V215" i="5"/>
  <c r="U215" i="5"/>
  <c r="T215" i="5"/>
  <c r="S215" i="5"/>
  <c r="R215" i="5"/>
  <c r="Q215" i="5"/>
  <c r="P215" i="5"/>
  <c r="X214" i="5"/>
  <c r="W214" i="5"/>
  <c r="V214" i="5"/>
  <c r="U214" i="5"/>
  <c r="T214" i="5"/>
  <c r="S214" i="5"/>
  <c r="R214" i="5"/>
  <c r="Q214" i="5"/>
  <c r="P214" i="5"/>
  <c r="X213" i="5"/>
  <c r="W213" i="5"/>
  <c r="V213" i="5"/>
  <c r="U213" i="5"/>
  <c r="T213" i="5"/>
  <c r="S213" i="5"/>
  <c r="R213" i="5"/>
  <c r="Q213" i="5"/>
  <c r="P213" i="5"/>
  <c r="X212" i="5"/>
  <c r="W212" i="5"/>
  <c r="V212" i="5"/>
  <c r="U212" i="5"/>
  <c r="T212" i="5"/>
  <c r="S212" i="5"/>
  <c r="R212" i="5"/>
  <c r="Q212" i="5"/>
  <c r="P212" i="5"/>
  <c r="X211" i="5"/>
  <c r="W211" i="5"/>
  <c r="V211" i="5"/>
  <c r="U211" i="5"/>
  <c r="T211" i="5"/>
  <c r="S211" i="5"/>
  <c r="R211" i="5"/>
  <c r="Q211" i="5"/>
  <c r="P211" i="5"/>
  <c r="X210" i="5"/>
  <c r="W210" i="5"/>
  <c r="V210" i="5"/>
  <c r="U210" i="5"/>
  <c r="T210" i="5"/>
  <c r="S210" i="5"/>
  <c r="R210" i="5"/>
  <c r="Q210" i="5"/>
  <c r="P210" i="5"/>
  <c r="X209" i="5"/>
  <c r="W209" i="5"/>
  <c r="V209" i="5"/>
  <c r="U209" i="5"/>
  <c r="T209" i="5"/>
  <c r="S209" i="5"/>
  <c r="R209" i="5"/>
  <c r="Q209" i="5"/>
  <c r="P209" i="5"/>
  <c r="X208" i="5"/>
  <c r="W208" i="5"/>
  <c r="V208" i="5"/>
  <c r="U208" i="5"/>
  <c r="T208" i="5"/>
  <c r="S208" i="5"/>
  <c r="R208" i="5"/>
  <c r="Q208" i="5"/>
  <c r="P208" i="5"/>
  <c r="X207" i="5"/>
  <c r="W207" i="5"/>
  <c r="V207" i="5"/>
  <c r="U207" i="5"/>
  <c r="T207" i="5"/>
  <c r="S207" i="5"/>
  <c r="R207" i="5"/>
  <c r="Q207" i="5"/>
  <c r="P207" i="5"/>
  <c r="X206" i="5"/>
  <c r="W206" i="5"/>
  <c r="V206" i="5"/>
  <c r="U206" i="5"/>
  <c r="T206" i="5"/>
  <c r="S206" i="5"/>
  <c r="R206" i="5"/>
  <c r="Q206" i="5"/>
  <c r="P206" i="5"/>
  <c r="X205" i="5"/>
  <c r="W205" i="5"/>
  <c r="V205" i="5"/>
  <c r="U205" i="5"/>
  <c r="T205" i="5"/>
  <c r="S205" i="5"/>
  <c r="R205" i="5"/>
  <c r="Q205" i="5"/>
  <c r="P205" i="5"/>
  <c r="X204" i="5"/>
  <c r="W204" i="5"/>
  <c r="V204" i="5"/>
  <c r="U204" i="5"/>
  <c r="T204" i="5"/>
  <c r="S204" i="5"/>
  <c r="R204" i="5"/>
  <c r="Q204" i="5"/>
  <c r="P204" i="5"/>
  <c r="X203" i="5"/>
  <c r="W203" i="5"/>
  <c r="V203" i="5"/>
  <c r="U203" i="5"/>
  <c r="T203" i="5"/>
  <c r="S203" i="5"/>
  <c r="R203" i="5"/>
  <c r="Q203" i="5"/>
  <c r="P203" i="5"/>
  <c r="X202" i="5"/>
  <c r="W202" i="5"/>
  <c r="V202" i="5"/>
  <c r="U202" i="5"/>
  <c r="T202" i="5"/>
  <c r="S202" i="5"/>
  <c r="R202" i="5"/>
  <c r="Q202" i="5"/>
  <c r="P202" i="5"/>
  <c r="X201" i="5"/>
  <c r="W201" i="5"/>
  <c r="V201" i="5"/>
  <c r="U201" i="5"/>
  <c r="T201" i="5"/>
  <c r="S201" i="5"/>
  <c r="R201" i="5"/>
  <c r="Q201" i="5"/>
  <c r="P201" i="5"/>
  <c r="X200" i="5"/>
  <c r="W200" i="5"/>
  <c r="V200" i="5"/>
  <c r="U200" i="5"/>
  <c r="T200" i="5"/>
  <c r="S200" i="5"/>
  <c r="R200" i="5"/>
  <c r="Q200" i="5"/>
  <c r="P200" i="5"/>
  <c r="X199" i="5"/>
  <c r="W199" i="5"/>
  <c r="V199" i="5"/>
  <c r="U199" i="5"/>
  <c r="T199" i="5"/>
  <c r="S199" i="5"/>
  <c r="R199" i="5"/>
  <c r="Q199" i="5"/>
  <c r="P199" i="5"/>
  <c r="X198" i="5"/>
  <c r="W198" i="5"/>
  <c r="V198" i="5"/>
  <c r="U198" i="5"/>
  <c r="T198" i="5"/>
  <c r="S198" i="5"/>
  <c r="R198" i="5"/>
  <c r="Q198" i="5"/>
  <c r="P198" i="5"/>
  <c r="X197" i="5"/>
  <c r="W197" i="5"/>
  <c r="V197" i="5"/>
  <c r="U197" i="5"/>
  <c r="T197" i="5"/>
  <c r="S197" i="5"/>
  <c r="R197" i="5"/>
  <c r="Q197" i="5"/>
  <c r="P197" i="5"/>
  <c r="X196" i="5"/>
  <c r="W196" i="5"/>
  <c r="V196" i="5"/>
  <c r="U196" i="5"/>
  <c r="T196" i="5"/>
  <c r="S196" i="5"/>
  <c r="R196" i="5"/>
  <c r="Q196" i="5"/>
  <c r="P196" i="5"/>
  <c r="X195" i="5"/>
  <c r="W195" i="5"/>
  <c r="V195" i="5"/>
  <c r="U195" i="5"/>
  <c r="T195" i="5"/>
  <c r="S195" i="5"/>
  <c r="R195" i="5"/>
  <c r="Q195" i="5"/>
  <c r="P195" i="5"/>
  <c r="X194" i="5"/>
  <c r="W194" i="5"/>
  <c r="V194" i="5"/>
  <c r="U194" i="5"/>
  <c r="T194" i="5"/>
  <c r="S194" i="5"/>
  <c r="R194" i="5"/>
  <c r="Q194" i="5"/>
  <c r="P194" i="5"/>
  <c r="X193" i="5"/>
  <c r="W193" i="5"/>
  <c r="V193" i="5"/>
  <c r="U193" i="5"/>
  <c r="T193" i="5"/>
  <c r="S193" i="5"/>
  <c r="R193" i="5"/>
  <c r="Q193" i="5"/>
  <c r="P193" i="5"/>
  <c r="X192" i="5"/>
  <c r="W192" i="5"/>
  <c r="V192" i="5"/>
  <c r="U192" i="5"/>
  <c r="T192" i="5"/>
  <c r="S192" i="5"/>
  <c r="R192" i="5"/>
  <c r="Q192" i="5"/>
  <c r="P192" i="5"/>
  <c r="X191" i="5"/>
  <c r="W191" i="5"/>
  <c r="V191" i="5"/>
  <c r="U191" i="5"/>
  <c r="T191" i="5"/>
  <c r="S191" i="5"/>
  <c r="R191" i="5"/>
  <c r="Q191" i="5"/>
  <c r="P191" i="5"/>
  <c r="X190" i="5"/>
  <c r="W190" i="5"/>
  <c r="V190" i="5"/>
  <c r="U190" i="5"/>
  <c r="T190" i="5"/>
  <c r="S190" i="5"/>
  <c r="R190" i="5"/>
  <c r="Q190" i="5"/>
  <c r="P190" i="5"/>
  <c r="X189" i="5"/>
  <c r="W189" i="5"/>
  <c r="V189" i="5"/>
  <c r="U189" i="5"/>
  <c r="T189" i="5"/>
  <c r="S189" i="5"/>
  <c r="R189" i="5"/>
  <c r="Q189" i="5"/>
  <c r="P189" i="5"/>
  <c r="X188" i="5"/>
  <c r="W188" i="5"/>
  <c r="V188" i="5"/>
  <c r="U188" i="5"/>
  <c r="T188" i="5"/>
  <c r="S188" i="5"/>
  <c r="R188" i="5"/>
  <c r="Q188" i="5"/>
  <c r="P188" i="5"/>
  <c r="X187" i="5"/>
  <c r="W187" i="5"/>
  <c r="V187" i="5"/>
  <c r="U187" i="5"/>
  <c r="T187" i="5"/>
  <c r="S187" i="5"/>
  <c r="R187" i="5"/>
  <c r="Q187" i="5"/>
  <c r="P187" i="5"/>
  <c r="X186" i="5"/>
  <c r="W186" i="5"/>
  <c r="V186" i="5"/>
  <c r="U186" i="5"/>
  <c r="T186" i="5"/>
  <c r="S186" i="5"/>
  <c r="R186" i="5"/>
  <c r="Q186" i="5"/>
  <c r="P186" i="5"/>
  <c r="X185" i="5"/>
  <c r="W185" i="5"/>
  <c r="V185" i="5"/>
  <c r="U185" i="5"/>
  <c r="T185" i="5"/>
  <c r="S185" i="5"/>
  <c r="R185" i="5"/>
  <c r="Q185" i="5"/>
  <c r="P185" i="5"/>
  <c r="X184" i="5"/>
  <c r="W184" i="5"/>
  <c r="V184" i="5"/>
  <c r="U184" i="5"/>
  <c r="T184" i="5"/>
  <c r="S184" i="5"/>
  <c r="R184" i="5"/>
  <c r="Q184" i="5"/>
  <c r="P184" i="5"/>
  <c r="X183" i="5"/>
  <c r="W183" i="5"/>
  <c r="V183" i="5"/>
  <c r="U183" i="5"/>
  <c r="T183" i="5"/>
  <c r="S183" i="5"/>
  <c r="R183" i="5"/>
  <c r="Q183" i="5"/>
  <c r="P183" i="5"/>
  <c r="X182" i="5"/>
  <c r="W182" i="5"/>
  <c r="V182" i="5"/>
  <c r="U182" i="5"/>
  <c r="T182" i="5"/>
  <c r="S182" i="5"/>
  <c r="R182" i="5"/>
  <c r="Q182" i="5"/>
  <c r="P182" i="5"/>
  <c r="X181" i="5"/>
  <c r="W181" i="5"/>
  <c r="V181" i="5"/>
  <c r="U181" i="5"/>
  <c r="T181" i="5"/>
  <c r="S181" i="5"/>
  <c r="R181" i="5"/>
  <c r="Q181" i="5"/>
  <c r="P181" i="5"/>
  <c r="X180" i="5"/>
  <c r="W180" i="5"/>
  <c r="V180" i="5"/>
  <c r="U180" i="5"/>
  <c r="T180" i="5"/>
  <c r="S180" i="5"/>
  <c r="R180" i="5"/>
  <c r="Q180" i="5"/>
  <c r="P180" i="5"/>
  <c r="X179" i="5"/>
  <c r="W179" i="5"/>
  <c r="V179" i="5"/>
  <c r="U179" i="5"/>
  <c r="T179" i="5"/>
  <c r="S179" i="5"/>
  <c r="R179" i="5"/>
  <c r="Q179" i="5"/>
  <c r="P179" i="5"/>
  <c r="X178" i="5"/>
  <c r="W178" i="5"/>
  <c r="V178" i="5"/>
  <c r="U178" i="5"/>
  <c r="T178" i="5"/>
  <c r="S178" i="5"/>
  <c r="R178" i="5"/>
  <c r="Q178" i="5"/>
  <c r="P178" i="5"/>
  <c r="X177" i="5"/>
  <c r="W177" i="5"/>
  <c r="V177" i="5"/>
  <c r="U177" i="5"/>
  <c r="T177" i="5"/>
  <c r="S177" i="5"/>
  <c r="R177" i="5"/>
  <c r="Q177" i="5"/>
  <c r="P177" i="5"/>
  <c r="X176" i="5"/>
  <c r="W176" i="5"/>
  <c r="V176" i="5"/>
  <c r="U176" i="5"/>
  <c r="T176" i="5"/>
  <c r="S176" i="5"/>
  <c r="R176" i="5"/>
  <c r="Q176" i="5"/>
  <c r="P176" i="5"/>
  <c r="X175" i="5"/>
  <c r="W175" i="5"/>
  <c r="V175" i="5"/>
  <c r="U175" i="5"/>
  <c r="T175" i="5"/>
  <c r="S175" i="5"/>
  <c r="R175" i="5"/>
  <c r="Q175" i="5"/>
  <c r="P175" i="5"/>
  <c r="X174" i="5"/>
  <c r="W174" i="5"/>
  <c r="V174" i="5"/>
  <c r="U174" i="5"/>
  <c r="T174" i="5"/>
  <c r="S174" i="5"/>
  <c r="R174" i="5"/>
  <c r="Q174" i="5"/>
  <c r="P174" i="5"/>
  <c r="X173" i="5"/>
  <c r="W173" i="5"/>
  <c r="V173" i="5"/>
  <c r="U173" i="5"/>
  <c r="T173" i="5"/>
  <c r="S173" i="5"/>
  <c r="R173" i="5"/>
  <c r="Q173" i="5"/>
  <c r="P173" i="5"/>
  <c r="X172" i="5"/>
  <c r="W172" i="5"/>
  <c r="V172" i="5"/>
  <c r="U172" i="5"/>
  <c r="T172" i="5"/>
  <c r="S172" i="5"/>
  <c r="R172" i="5"/>
  <c r="Q172" i="5"/>
  <c r="P172" i="5"/>
  <c r="X171" i="5"/>
  <c r="W171" i="5"/>
  <c r="V171" i="5"/>
  <c r="U171" i="5"/>
  <c r="T171" i="5"/>
  <c r="S171" i="5"/>
  <c r="R171" i="5"/>
  <c r="Q171" i="5"/>
  <c r="P171" i="5"/>
  <c r="X170" i="5"/>
  <c r="W170" i="5"/>
  <c r="V170" i="5"/>
  <c r="U170" i="5"/>
  <c r="T170" i="5"/>
  <c r="S170" i="5"/>
  <c r="R170" i="5"/>
  <c r="Q170" i="5"/>
  <c r="P170" i="5"/>
  <c r="X169" i="5"/>
  <c r="W169" i="5"/>
  <c r="V169" i="5"/>
  <c r="U169" i="5"/>
  <c r="T169" i="5"/>
  <c r="S169" i="5"/>
  <c r="R169" i="5"/>
  <c r="Q169" i="5"/>
  <c r="P169" i="5"/>
  <c r="X168" i="5"/>
  <c r="W168" i="5"/>
  <c r="V168" i="5"/>
  <c r="U168" i="5"/>
  <c r="T168" i="5"/>
  <c r="S168" i="5"/>
  <c r="R168" i="5"/>
  <c r="Q168" i="5"/>
  <c r="P168" i="5"/>
  <c r="X167" i="5"/>
  <c r="W167" i="5"/>
  <c r="V167" i="5"/>
  <c r="U167" i="5"/>
  <c r="T167" i="5"/>
  <c r="S167" i="5"/>
  <c r="R167" i="5"/>
  <c r="Q167" i="5"/>
  <c r="P167" i="5"/>
  <c r="X166" i="5"/>
  <c r="W166" i="5"/>
  <c r="V166" i="5"/>
  <c r="U166" i="5"/>
  <c r="T166" i="5"/>
  <c r="S166" i="5"/>
  <c r="R166" i="5"/>
  <c r="Q166" i="5"/>
  <c r="P166" i="5"/>
  <c r="X165" i="5"/>
  <c r="W165" i="5"/>
  <c r="V165" i="5"/>
  <c r="U165" i="5"/>
  <c r="T165" i="5"/>
  <c r="S165" i="5"/>
  <c r="R165" i="5"/>
  <c r="Q165" i="5"/>
  <c r="P165" i="5"/>
  <c r="X164" i="5"/>
  <c r="W164" i="5"/>
  <c r="V164" i="5"/>
  <c r="U164" i="5"/>
  <c r="T164" i="5"/>
  <c r="S164" i="5"/>
  <c r="R164" i="5"/>
  <c r="Q164" i="5"/>
  <c r="P164" i="5"/>
  <c r="X163" i="5"/>
  <c r="W163" i="5"/>
  <c r="V163" i="5"/>
  <c r="U163" i="5"/>
  <c r="T163" i="5"/>
  <c r="S163" i="5"/>
  <c r="R163" i="5"/>
  <c r="Q163" i="5"/>
  <c r="P163" i="5"/>
  <c r="X162" i="5"/>
  <c r="W162" i="5"/>
  <c r="V162" i="5"/>
  <c r="U162" i="5"/>
  <c r="T162" i="5"/>
  <c r="S162" i="5"/>
  <c r="R162" i="5"/>
  <c r="Q162" i="5"/>
  <c r="P162" i="5"/>
  <c r="X161" i="5"/>
  <c r="W161" i="5"/>
  <c r="V161" i="5"/>
  <c r="U161" i="5"/>
  <c r="T161" i="5"/>
  <c r="S161" i="5"/>
  <c r="R161" i="5"/>
  <c r="Q161" i="5"/>
  <c r="P161" i="5"/>
  <c r="X160" i="5"/>
  <c r="W160" i="5"/>
  <c r="V160" i="5"/>
  <c r="U160" i="5"/>
  <c r="T160" i="5"/>
  <c r="S160" i="5"/>
  <c r="R160" i="5"/>
  <c r="Q160" i="5"/>
  <c r="P160" i="5"/>
  <c r="X159" i="5"/>
  <c r="W159" i="5"/>
  <c r="V159" i="5"/>
  <c r="U159" i="5"/>
  <c r="T159" i="5"/>
  <c r="S159" i="5"/>
  <c r="R159" i="5"/>
  <c r="Q159" i="5"/>
  <c r="P159" i="5"/>
  <c r="X158" i="5"/>
  <c r="W158" i="5"/>
  <c r="V158" i="5"/>
  <c r="U158" i="5"/>
  <c r="T158" i="5"/>
  <c r="S158" i="5"/>
  <c r="R158" i="5"/>
  <c r="Q158" i="5"/>
  <c r="P158" i="5"/>
  <c r="X157" i="5"/>
  <c r="W157" i="5"/>
  <c r="V157" i="5"/>
  <c r="U157" i="5"/>
  <c r="T157" i="5"/>
  <c r="S157" i="5"/>
  <c r="R157" i="5"/>
  <c r="Q157" i="5"/>
  <c r="P157" i="5"/>
  <c r="X156" i="5"/>
  <c r="W156" i="5"/>
  <c r="V156" i="5"/>
  <c r="U156" i="5"/>
  <c r="T156" i="5"/>
  <c r="S156" i="5"/>
  <c r="R156" i="5"/>
  <c r="Q156" i="5"/>
  <c r="P156" i="5"/>
  <c r="X155" i="5"/>
  <c r="W155" i="5"/>
  <c r="V155" i="5"/>
  <c r="U155" i="5"/>
  <c r="T155" i="5"/>
  <c r="S155" i="5"/>
  <c r="R155" i="5"/>
  <c r="Q155" i="5"/>
  <c r="P155" i="5"/>
  <c r="X154" i="5"/>
  <c r="W154" i="5"/>
  <c r="V154" i="5"/>
  <c r="U154" i="5"/>
  <c r="T154" i="5"/>
  <c r="S154" i="5"/>
  <c r="R154" i="5"/>
  <c r="Q154" i="5"/>
  <c r="P154" i="5"/>
  <c r="X153" i="5"/>
  <c r="W153" i="5"/>
  <c r="V153" i="5"/>
  <c r="U153" i="5"/>
  <c r="T153" i="5"/>
  <c r="S153" i="5"/>
  <c r="R153" i="5"/>
  <c r="Q153" i="5"/>
  <c r="P153" i="5"/>
  <c r="X152" i="5"/>
  <c r="W152" i="5"/>
  <c r="V152" i="5"/>
  <c r="U152" i="5"/>
  <c r="T152" i="5"/>
  <c r="S152" i="5"/>
  <c r="R152" i="5"/>
  <c r="Q152" i="5"/>
  <c r="P152" i="5"/>
  <c r="X151" i="5"/>
  <c r="W151" i="5"/>
  <c r="V151" i="5"/>
  <c r="U151" i="5"/>
  <c r="T151" i="5"/>
  <c r="S151" i="5"/>
  <c r="R151" i="5"/>
  <c r="Q151" i="5"/>
  <c r="P151" i="5"/>
  <c r="X150" i="5"/>
  <c r="W150" i="5"/>
  <c r="V150" i="5"/>
  <c r="U150" i="5"/>
  <c r="T150" i="5"/>
  <c r="S150" i="5"/>
  <c r="R150" i="5"/>
  <c r="Q150" i="5"/>
  <c r="P150" i="5"/>
  <c r="X149" i="5"/>
  <c r="W149" i="5"/>
  <c r="V149" i="5"/>
  <c r="U149" i="5"/>
  <c r="T149" i="5"/>
  <c r="S149" i="5"/>
  <c r="R149" i="5"/>
  <c r="Q149" i="5"/>
  <c r="P149" i="5"/>
  <c r="X148" i="5"/>
  <c r="W148" i="5"/>
  <c r="V148" i="5"/>
  <c r="U148" i="5"/>
  <c r="T148" i="5"/>
  <c r="S148" i="5"/>
  <c r="R148" i="5"/>
  <c r="Q148" i="5"/>
  <c r="P148" i="5"/>
  <c r="X147" i="5"/>
  <c r="W147" i="5"/>
  <c r="V147" i="5"/>
  <c r="U147" i="5"/>
  <c r="T147" i="5"/>
  <c r="S147" i="5"/>
  <c r="R147" i="5"/>
  <c r="Q147" i="5"/>
  <c r="P147" i="5"/>
  <c r="X146" i="5"/>
  <c r="W146" i="5"/>
  <c r="V146" i="5"/>
  <c r="U146" i="5"/>
  <c r="T146" i="5"/>
  <c r="S146" i="5"/>
  <c r="R146" i="5"/>
  <c r="Q146" i="5"/>
  <c r="P146" i="5"/>
  <c r="X145" i="5"/>
  <c r="W145" i="5"/>
  <c r="V145" i="5"/>
  <c r="U145" i="5"/>
  <c r="T145" i="5"/>
  <c r="S145" i="5"/>
  <c r="R145" i="5"/>
  <c r="Q145" i="5"/>
  <c r="P145" i="5"/>
  <c r="X144" i="5"/>
  <c r="W144" i="5"/>
  <c r="V144" i="5"/>
  <c r="U144" i="5"/>
  <c r="T144" i="5"/>
  <c r="S144" i="5"/>
  <c r="R144" i="5"/>
  <c r="Q144" i="5"/>
  <c r="P144" i="5"/>
  <c r="X143" i="5"/>
  <c r="W143" i="5"/>
  <c r="V143" i="5"/>
  <c r="U143" i="5"/>
  <c r="T143" i="5"/>
  <c r="S143" i="5"/>
  <c r="R143" i="5"/>
  <c r="Q143" i="5"/>
  <c r="P143" i="5"/>
  <c r="X142" i="5"/>
  <c r="W142" i="5"/>
  <c r="V142" i="5"/>
  <c r="U142" i="5"/>
  <c r="T142" i="5"/>
  <c r="S142" i="5"/>
  <c r="R142" i="5"/>
  <c r="Q142" i="5"/>
  <c r="P142" i="5"/>
  <c r="X141" i="5"/>
  <c r="W141" i="5"/>
  <c r="V141" i="5"/>
  <c r="U141" i="5"/>
  <c r="T141" i="5"/>
  <c r="S141" i="5"/>
  <c r="R141" i="5"/>
  <c r="Q141" i="5"/>
  <c r="P141" i="5"/>
  <c r="X140" i="5"/>
  <c r="W140" i="5"/>
  <c r="V140" i="5"/>
  <c r="U140" i="5"/>
  <c r="T140" i="5"/>
  <c r="S140" i="5"/>
  <c r="R140" i="5"/>
  <c r="Q140" i="5"/>
  <c r="P140" i="5"/>
  <c r="X139" i="5"/>
  <c r="W139" i="5"/>
  <c r="V139" i="5"/>
  <c r="U139" i="5"/>
  <c r="T139" i="5"/>
  <c r="S139" i="5"/>
  <c r="R139" i="5"/>
  <c r="Q139" i="5"/>
  <c r="P139" i="5"/>
  <c r="X138" i="5"/>
  <c r="W138" i="5"/>
  <c r="V138" i="5"/>
  <c r="U138" i="5"/>
  <c r="T138" i="5"/>
  <c r="S138" i="5"/>
  <c r="R138" i="5"/>
  <c r="Q138" i="5"/>
  <c r="P138" i="5"/>
  <c r="X137" i="5"/>
  <c r="W137" i="5"/>
  <c r="V137" i="5"/>
  <c r="U137" i="5"/>
  <c r="T137" i="5"/>
  <c r="S137" i="5"/>
  <c r="R137" i="5"/>
  <c r="Q137" i="5"/>
  <c r="P137" i="5"/>
  <c r="X136" i="5"/>
  <c r="W136" i="5"/>
  <c r="V136" i="5"/>
  <c r="U136" i="5"/>
  <c r="T136" i="5"/>
  <c r="S136" i="5"/>
  <c r="R136" i="5"/>
  <c r="Q136" i="5"/>
  <c r="P136" i="5"/>
  <c r="X135" i="5"/>
  <c r="W135" i="5"/>
  <c r="V135" i="5"/>
  <c r="U135" i="5"/>
  <c r="T135" i="5"/>
  <c r="S135" i="5"/>
  <c r="R135" i="5"/>
  <c r="Q135" i="5"/>
  <c r="P135" i="5"/>
  <c r="X134" i="5"/>
  <c r="W134" i="5"/>
  <c r="V134" i="5"/>
  <c r="U134" i="5"/>
  <c r="T134" i="5"/>
  <c r="S134" i="5"/>
  <c r="R134" i="5"/>
  <c r="Q134" i="5"/>
  <c r="P134" i="5"/>
  <c r="X133" i="5"/>
  <c r="W133" i="5"/>
  <c r="V133" i="5"/>
  <c r="U133" i="5"/>
  <c r="T133" i="5"/>
  <c r="S133" i="5"/>
  <c r="R133" i="5"/>
  <c r="Q133" i="5"/>
  <c r="P133" i="5"/>
  <c r="X132" i="5"/>
  <c r="W132" i="5"/>
  <c r="V132" i="5"/>
  <c r="U132" i="5"/>
  <c r="T132" i="5"/>
  <c r="S132" i="5"/>
  <c r="R132" i="5"/>
  <c r="Q132" i="5"/>
  <c r="P132" i="5"/>
  <c r="X131" i="5"/>
  <c r="W131" i="5"/>
  <c r="V131" i="5"/>
  <c r="U131" i="5"/>
  <c r="T131" i="5"/>
  <c r="S131" i="5"/>
  <c r="R131" i="5"/>
  <c r="Q131" i="5"/>
  <c r="P131" i="5"/>
  <c r="X130" i="5"/>
  <c r="W130" i="5"/>
  <c r="V130" i="5"/>
  <c r="U130" i="5"/>
  <c r="T130" i="5"/>
  <c r="S130" i="5"/>
  <c r="R130" i="5"/>
  <c r="Q130" i="5"/>
  <c r="P130" i="5"/>
  <c r="X129" i="5"/>
  <c r="W129" i="5"/>
  <c r="V129" i="5"/>
  <c r="U129" i="5"/>
  <c r="T129" i="5"/>
  <c r="S129" i="5"/>
  <c r="R129" i="5"/>
  <c r="Q129" i="5"/>
  <c r="P129" i="5"/>
  <c r="X128" i="5"/>
  <c r="W128" i="5"/>
  <c r="V128" i="5"/>
  <c r="U128" i="5"/>
  <c r="T128" i="5"/>
  <c r="S128" i="5"/>
  <c r="R128" i="5"/>
  <c r="Q128" i="5"/>
  <c r="P128" i="5"/>
  <c r="X127" i="5"/>
  <c r="W127" i="5"/>
  <c r="V127" i="5"/>
  <c r="U127" i="5"/>
  <c r="T127" i="5"/>
  <c r="S127" i="5"/>
  <c r="R127" i="5"/>
  <c r="Q127" i="5"/>
  <c r="P127" i="5"/>
  <c r="X126" i="5"/>
  <c r="W126" i="5"/>
  <c r="V126" i="5"/>
  <c r="U126" i="5"/>
  <c r="T126" i="5"/>
  <c r="S126" i="5"/>
  <c r="R126" i="5"/>
  <c r="Q126" i="5"/>
  <c r="P126" i="5"/>
  <c r="X125" i="5"/>
  <c r="W125" i="5"/>
  <c r="V125" i="5"/>
  <c r="U125" i="5"/>
  <c r="T125" i="5"/>
  <c r="S125" i="5"/>
  <c r="R125" i="5"/>
  <c r="Q125" i="5"/>
  <c r="P125" i="5"/>
  <c r="X124" i="5"/>
  <c r="W124" i="5"/>
  <c r="V124" i="5"/>
  <c r="U124" i="5"/>
  <c r="T124" i="5"/>
  <c r="S124" i="5"/>
  <c r="R124" i="5"/>
  <c r="Q124" i="5"/>
  <c r="P124" i="5"/>
  <c r="X123" i="5"/>
  <c r="W123" i="5"/>
  <c r="V123" i="5"/>
  <c r="U123" i="5"/>
  <c r="T123" i="5"/>
  <c r="S123" i="5"/>
  <c r="R123" i="5"/>
  <c r="Q123" i="5"/>
  <c r="P123" i="5"/>
  <c r="X122" i="5"/>
  <c r="W122" i="5"/>
  <c r="V122" i="5"/>
  <c r="U122" i="5"/>
  <c r="T122" i="5"/>
  <c r="S122" i="5"/>
  <c r="R122" i="5"/>
  <c r="Q122" i="5"/>
  <c r="P122" i="5"/>
  <c r="X121" i="5"/>
  <c r="W121" i="5"/>
  <c r="V121" i="5"/>
  <c r="U121" i="5"/>
  <c r="T121" i="5"/>
  <c r="S121" i="5"/>
  <c r="R121" i="5"/>
  <c r="Q121" i="5"/>
  <c r="P121" i="5"/>
  <c r="X120" i="5"/>
  <c r="W120" i="5"/>
  <c r="V120" i="5"/>
  <c r="U120" i="5"/>
  <c r="T120" i="5"/>
  <c r="S120" i="5"/>
  <c r="R120" i="5"/>
  <c r="Q120" i="5"/>
  <c r="P120" i="5"/>
  <c r="X119" i="5"/>
  <c r="W119" i="5"/>
  <c r="V119" i="5"/>
  <c r="U119" i="5"/>
  <c r="T119" i="5"/>
  <c r="S119" i="5"/>
  <c r="R119" i="5"/>
  <c r="Q119" i="5"/>
  <c r="P119" i="5"/>
  <c r="X118" i="5"/>
  <c r="W118" i="5"/>
  <c r="V118" i="5"/>
  <c r="U118" i="5"/>
  <c r="T118" i="5"/>
  <c r="S118" i="5"/>
  <c r="R118" i="5"/>
  <c r="Q118" i="5"/>
  <c r="P118" i="5"/>
  <c r="X117" i="5"/>
  <c r="W117" i="5"/>
  <c r="V117" i="5"/>
  <c r="U117" i="5"/>
  <c r="T117" i="5"/>
  <c r="S117" i="5"/>
  <c r="R117" i="5"/>
  <c r="Q117" i="5"/>
  <c r="P117" i="5"/>
  <c r="X116" i="5"/>
  <c r="W116" i="5"/>
  <c r="V116" i="5"/>
  <c r="U116" i="5"/>
  <c r="T116" i="5"/>
  <c r="S116" i="5"/>
  <c r="R116" i="5"/>
  <c r="Q116" i="5"/>
  <c r="P116" i="5"/>
  <c r="X115" i="5"/>
  <c r="W115" i="5"/>
  <c r="V115" i="5"/>
  <c r="U115" i="5"/>
  <c r="T115" i="5"/>
  <c r="S115" i="5"/>
  <c r="R115" i="5"/>
  <c r="Q115" i="5"/>
  <c r="P115" i="5"/>
  <c r="X114" i="5"/>
  <c r="W114" i="5"/>
  <c r="V114" i="5"/>
  <c r="U114" i="5"/>
  <c r="T114" i="5"/>
  <c r="S114" i="5"/>
  <c r="R114" i="5"/>
  <c r="Q114" i="5"/>
  <c r="P114" i="5"/>
  <c r="X113" i="5"/>
  <c r="W113" i="5"/>
  <c r="V113" i="5"/>
  <c r="U113" i="5"/>
  <c r="T113" i="5"/>
  <c r="S113" i="5"/>
  <c r="R113" i="5"/>
  <c r="Q113" i="5"/>
  <c r="P113" i="5"/>
  <c r="X112" i="5"/>
  <c r="W112" i="5"/>
  <c r="V112" i="5"/>
  <c r="U112" i="5"/>
  <c r="T112" i="5"/>
  <c r="S112" i="5"/>
  <c r="R112" i="5"/>
  <c r="Q112" i="5"/>
  <c r="P112" i="5"/>
  <c r="X111" i="5"/>
  <c r="W111" i="5"/>
  <c r="V111" i="5"/>
  <c r="U111" i="5"/>
  <c r="T111" i="5"/>
  <c r="S111" i="5"/>
  <c r="R111" i="5"/>
  <c r="Q111" i="5"/>
  <c r="P111" i="5"/>
  <c r="X110" i="5"/>
  <c r="W110" i="5"/>
  <c r="V110" i="5"/>
  <c r="U110" i="5"/>
  <c r="T110" i="5"/>
  <c r="S110" i="5"/>
  <c r="R110" i="5"/>
  <c r="Q110" i="5"/>
  <c r="P110" i="5"/>
  <c r="X109" i="5"/>
  <c r="W109" i="5"/>
  <c r="V109" i="5"/>
  <c r="U109" i="5"/>
  <c r="T109" i="5"/>
  <c r="S109" i="5"/>
  <c r="R109" i="5"/>
  <c r="Q109" i="5"/>
  <c r="P109" i="5"/>
  <c r="X108" i="5"/>
  <c r="W108" i="5"/>
  <c r="V108" i="5"/>
  <c r="U108" i="5"/>
  <c r="T108" i="5"/>
  <c r="S108" i="5"/>
  <c r="R108" i="5"/>
  <c r="Q108" i="5"/>
  <c r="P108" i="5"/>
  <c r="X107" i="5"/>
  <c r="W107" i="5"/>
  <c r="V107" i="5"/>
  <c r="U107" i="5"/>
  <c r="T107" i="5"/>
  <c r="S107" i="5"/>
  <c r="R107" i="5"/>
  <c r="Q107" i="5"/>
  <c r="P107" i="5"/>
  <c r="X106" i="5"/>
  <c r="W106" i="5"/>
  <c r="V106" i="5"/>
  <c r="U106" i="5"/>
  <c r="T106" i="5"/>
  <c r="S106" i="5"/>
  <c r="R106" i="5"/>
  <c r="Q106" i="5"/>
  <c r="P106" i="5"/>
  <c r="X105" i="5"/>
  <c r="W105" i="5"/>
  <c r="V105" i="5"/>
  <c r="U105" i="5"/>
  <c r="T105" i="5"/>
  <c r="S105" i="5"/>
  <c r="R105" i="5"/>
  <c r="Q105" i="5"/>
  <c r="P105" i="5"/>
  <c r="X104" i="5"/>
  <c r="W104" i="5"/>
  <c r="V104" i="5"/>
  <c r="U104" i="5"/>
  <c r="T104" i="5"/>
  <c r="S104" i="5"/>
  <c r="R104" i="5"/>
  <c r="Q104" i="5"/>
  <c r="P104" i="5"/>
  <c r="X103" i="5"/>
  <c r="W103" i="5"/>
  <c r="V103" i="5"/>
  <c r="U103" i="5"/>
  <c r="T103" i="5"/>
  <c r="S103" i="5"/>
  <c r="R103" i="5"/>
  <c r="Q103" i="5"/>
  <c r="P103" i="5"/>
  <c r="X102" i="5"/>
  <c r="W102" i="5"/>
  <c r="V102" i="5"/>
  <c r="U102" i="5"/>
  <c r="T102" i="5"/>
  <c r="S102" i="5"/>
  <c r="R102" i="5"/>
  <c r="Q102" i="5"/>
  <c r="P102" i="5"/>
  <c r="X101" i="5"/>
  <c r="W101" i="5"/>
  <c r="V101" i="5"/>
  <c r="U101" i="5"/>
  <c r="T101" i="5"/>
  <c r="S101" i="5"/>
  <c r="R101" i="5"/>
  <c r="Q101" i="5"/>
  <c r="P101" i="5"/>
  <c r="X100" i="5"/>
  <c r="W100" i="5"/>
  <c r="V100" i="5"/>
  <c r="U100" i="5"/>
  <c r="T100" i="5"/>
  <c r="S100" i="5"/>
  <c r="R100" i="5"/>
  <c r="Q100" i="5"/>
  <c r="P100" i="5"/>
  <c r="X99" i="5"/>
  <c r="W99" i="5"/>
  <c r="V99" i="5"/>
  <c r="U99" i="5"/>
  <c r="T99" i="5"/>
  <c r="S99" i="5"/>
  <c r="R99" i="5"/>
  <c r="Q99" i="5"/>
  <c r="P99" i="5"/>
  <c r="X98" i="5"/>
  <c r="W98" i="5"/>
  <c r="V98" i="5"/>
  <c r="U98" i="5"/>
  <c r="T98" i="5"/>
  <c r="S98" i="5"/>
  <c r="R98" i="5"/>
  <c r="Q98" i="5"/>
  <c r="P98" i="5"/>
  <c r="X97" i="5"/>
  <c r="W97" i="5"/>
  <c r="V97" i="5"/>
  <c r="U97" i="5"/>
  <c r="T97" i="5"/>
  <c r="S97" i="5"/>
  <c r="R97" i="5"/>
  <c r="Q97" i="5"/>
  <c r="P97" i="5"/>
  <c r="X96" i="5"/>
  <c r="W96" i="5"/>
  <c r="V96" i="5"/>
  <c r="U96" i="5"/>
  <c r="T96" i="5"/>
  <c r="S96" i="5"/>
  <c r="R96" i="5"/>
  <c r="Q96" i="5"/>
  <c r="P96" i="5"/>
  <c r="X95" i="5"/>
  <c r="W95" i="5"/>
  <c r="V95" i="5"/>
  <c r="U95" i="5"/>
  <c r="T95" i="5"/>
  <c r="S95" i="5"/>
  <c r="R95" i="5"/>
  <c r="Q95" i="5"/>
  <c r="P95" i="5"/>
  <c r="X94" i="5"/>
  <c r="W94" i="5"/>
  <c r="V94" i="5"/>
  <c r="U94" i="5"/>
  <c r="T94" i="5"/>
  <c r="S94" i="5"/>
  <c r="R94" i="5"/>
  <c r="Q94" i="5"/>
  <c r="P94" i="5"/>
  <c r="X93" i="5"/>
  <c r="W93" i="5"/>
  <c r="V93" i="5"/>
  <c r="U93" i="5"/>
  <c r="T93" i="5"/>
  <c r="S93" i="5"/>
  <c r="R93" i="5"/>
  <c r="Q93" i="5"/>
  <c r="P93" i="5"/>
  <c r="X92" i="5"/>
  <c r="W92" i="5"/>
  <c r="V92" i="5"/>
  <c r="U92" i="5"/>
  <c r="T92" i="5"/>
  <c r="S92" i="5"/>
  <c r="R92" i="5"/>
  <c r="Q92" i="5"/>
  <c r="P92" i="5"/>
  <c r="X91" i="5"/>
  <c r="W91" i="5"/>
  <c r="V91" i="5"/>
  <c r="U91" i="5"/>
  <c r="T91" i="5"/>
  <c r="S91" i="5"/>
  <c r="R91" i="5"/>
  <c r="Q91" i="5"/>
  <c r="P91" i="5"/>
  <c r="X90" i="5"/>
  <c r="W90" i="5"/>
  <c r="V90" i="5"/>
  <c r="U90" i="5"/>
  <c r="T90" i="5"/>
  <c r="S90" i="5"/>
  <c r="R90" i="5"/>
  <c r="Q90" i="5"/>
  <c r="P90" i="5"/>
  <c r="X89" i="5"/>
  <c r="W89" i="5"/>
  <c r="V89" i="5"/>
  <c r="U89" i="5"/>
  <c r="T89" i="5"/>
  <c r="S89" i="5"/>
  <c r="R89" i="5"/>
  <c r="Q89" i="5"/>
  <c r="P89" i="5"/>
  <c r="X88" i="5"/>
  <c r="W88" i="5"/>
  <c r="V88" i="5"/>
  <c r="U88" i="5"/>
  <c r="T88" i="5"/>
  <c r="S88" i="5"/>
  <c r="R88" i="5"/>
  <c r="Q88" i="5"/>
  <c r="P88" i="5"/>
  <c r="X87" i="5"/>
  <c r="W87" i="5"/>
  <c r="V87" i="5"/>
  <c r="U87" i="5"/>
  <c r="T87" i="5"/>
  <c r="S87" i="5"/>
  <c r="R87" i="5"/>
  <c r="Q87" i="5"/>
  <c r="P87" i="5"/>
  <c r="X86" i="5"/>
  <c r="W86" i="5"/>
  <c r="V86" i="5"/>
  <c r="U86" i="5"/>
  <c r="T86" i="5"/>
  <c r="S86" i="5"/>
  <c r="R86" i="5"/>
  <c r="Q86" i="5"/>
  <c r="P86" i="5"/>
  <c r="X85" i="5"/>
  <c r="W85" i="5"/>
  <c r="V85" i="5"/>
  <c r="U85" i="5"/>
  <c r="T85" i="5"/>
  <c r="S85" i="5"/>
  <c r="R85" i="5"/>
  <c r="Q85" i="5"/>
  <c r="P85" i="5"/>
  <c r="X84" i="5"/>
  <c r="W84" i="5"/>
  <c r="V84" i="5"/>
  <c r="U84" i="5"/>
  <c r="T84" i="5"/>
  <c r="S84" i="5"/>
  <c r="R84" i="5"/>
  <c r="Q84" i="5"/>
  <c r="P84" i="5"/>
  <c r="X83" i="5"/>
  <c r="W83" i="5"/>
  <c r="V83" i="5"/>
  <c r="U83" i="5"/>
  <c r="T83" i="5"/>
  <c r="S83" i="5"/>
  <c r="R83" i="5"/>
  <c r="Q83" i="5"/>
  <c r="P83" i="5"/>
  <c r="X82" i="5"/>
  <c r="W82" i="5"/>
  <c r="V82" i="5"/>
  <c r="U82" i="5"/>
  <c r="T82" i="5"/>
  <c r="S82" i="5"/>
  <c r="R82" i="5"/>
  <c r="Q82" i="5"/>
  <c r="P82" i="5"/>
  <c r="X81" i="5"/>
  <c r="W81" i="5"/>
  <c r="V81" i="5"/>
  <c r="U81" i="5"/>
  <c r="T81" i="5"/>
  <c r="S81" i="5"/>
  <c r="R81" i="5"/>
  <c r="Q81" i="5"/>
  <c r="P81" i="5"/>
  <c r="X80" i="5"/>
  <c r="W80" i="5"/>
  <c r="V80" i="5"/>
  <c r="U80" i="5"/>
  <c r="T80" i="5"/>
  <c r="S80" i="5"/>
  <c r="R80" i="5"/>
  <c r="Q80" i="5"/>
  <c r="P80" i="5"/>
  <c r="X79" i="5"/>
  <c r="W79" i="5"/>
  <c r="V79" i="5"/>
  <c r="U79" i="5"/>
  <c r="T79" i="5"/>
  <c r="S79" i="5"/>
  <c r="R79" i="5"/>
  <c r="Q79" i="5"/>
  <c r="P79" i="5"/>
  <c r="X78" i="5"/>
  <c r="W78" i="5"/>
  <c r="V78" i="5"/>
  <c r="U78" i="5"/>
  <c r="T78" i="5"/>
  <c r="S78" i="5"/>
  <c r="R78" i="5"/>
  <c r="Q78" i="5"/>
  <c r="P78" i="5"/>
  <c r="X77" i="5"/>
  <c r="W77" i="5"/>
  <c r="V77" i="5"/>
  <c r="U77" i="5"/>
  <c r="T77" i="5"/>
  <c r="S77" i="5"/>
  <c r="R77" i="5"/>
  <c r="Q77" i="5"/>
  <c r="P77" i="5"/>
  <c r="X76" i="5"/>
  <c r="W76" i="5"/>
  <c r="V76" i="5"/>
  <c r="U76" i="5"/>
  <c r="T76" i="5"/>
  <c r="S76" i="5"/>
  <c r="R76" i="5"/>
  <c r="Q76" i="5"/>
  <c r="P76" i="5"/>
  <c r="X75" i="5"/>
  <c r="W75" i="5"/>
  <c r="V75" i="5"/>
  <c r="U75" i="5"/>
  <c r="T75" i="5"/>
  <c r="S75" i="5"/>
  <c r="R75" i="5"/>
  <c r="Q75" i="5"/>
  <c r="P75" i="5"/>
  <c r="X74" i="5"/>
  <c r="W74" i="5"/>
  <c r="V74" i="5"/>
  <c r="U74" i="5"/>
  <c r="T74" i="5"/>
  <c r="S74" i="5"/>
  <c r="R74" i="5"/>
  <c r="Q74" i="5"/>
  <c r="P74" i="5"/>
  <c r="X73" i="5"/>
  <c r="W73" i="5"/>
  <c r="V73" i="5"/>
  <c r="U73" i="5"/>
  <c r="T73" i="5"/>
  <c r="S73" i="5"/>
  <c r="R73" i="5"/>
  <c r="Q73" i="5"/>
  <c r="P73" i="5"/>
  <c r="X72" i="5"/>
  <c r="W72" i="5"/>
  <c r="V72" i="5"/>
  <c r="U72" i="5"/>
  <c r="T72" i="5"/>
  <c r="S72" i="5"/>
  <c r="R72" i="5"/>
  <c r="Q72" i="5"/>
  <c r="P72" i="5"/>
  <c r="X71" i="5"/>
  <c r="W71" i="5"/>
  <c r="V71" i="5"/>
  <c r="U71" i="5"/>
  <c r="T71" i="5"/>
  <c r="S71" i="5"/>
  <c r="R71" i="5"/>
  <c r="Q71" i="5"/>
  <c r="P71" i="5"/>
  <c r="X70" i="5"/>
  <c r="W70" i="5"/>
  <c r="V70" i="5"/>
  <c r="U70" i="5"/>
  <c r="T70" i="5"/>
  <c r="S70" i="5"/>
  <c r="R70" i="5"/>
  <c r="Q70" i="5"/>
  <c r="P70" i="5"/>
  <c r="X69" i="5"/>
  <c r="W69" i="5"/>
  <c r="V69" i="5"/>
  <c r="U69" i="5"/>
  <c r="T69" i="5"/>
  <c r="S69" i="5"/>
  <c r="R69" i="5"/>
  <c r="Q69" i="5"/>
  <c r="P69" i="5"/>
  <c r="X68" i="5"/>
  <c r="W68" i="5"/>
  <c r="V68" i="5"/>
  <c r="U68" i="5"/>
  <c r="T68" i="5"/>
  <c r="S68" i="5"/>
  <c r="R68" i="5"/>
  <c r="Q68" i="5"/>
  <c r="P68" i="5"/>
  <c r="X67" i="5"/>
  <c r="W67" i="5"/>
  <c r="V67" i="5"/>
  <c r="U67" i="5"/>
  <c r="T67" i="5"/>
  <c r="S67" i="5"/>
  <c r="R67" i="5"/>
  <c r="Q67" i="5"/>
  <c r="P67" i="5"/>
  <c r="X66" i="5"/>
  <c r="W66" i="5"/>
  <c r="V66" i="5"/>
  <c r="U66" i="5"/>
  <c r="T66" i="5"/>
  <c r="S66" i="5"/>
  <c r="R66" i="5"/>
  <c r="Q66" i="5"/>
  <c r="P66" i="5"/>
  <c r="X65" i="5"/>
  <c r="W65" i="5"/>
  <c r="V65" i="5"/>
  <c r="U65" i="5"/>
  <c r="T65" i="5"/>
  <c r="S65" i="5"/>
  <c r="R65" i="5"/>
  <c r="Q65" i="5"/>
  <c r="P65" i="5"/>
  <c r="X64" i="5"/>
  <c r="W64" i="5"/>
  <c r="V64" i="5"/>
  <c r="U64" i="5"/>
  <c r="T64" i="5"/>
  <c r="S64" i="5"/>
  <c r="R64" i="5"/>
  <c r="Q64" i="5"/>
  <c r="P64" i="5"/>
  <c r="X63" i="5"/>
  <c r="W63" i="5"/>
  <c r="V63" i="5"/>
  <c r="U63" i="5"/>
  <c r="T63" i="5"/>
  <c r="S63" i="5"/>
  <c r="R63" i="5"/>
  <c r="Q63" i="5"/>
  <c r="P63" i="5"/>
  <c r="X62" i="5"/>
  <c r="W62" i="5"/>
  <c r="V62" i="5"/>
  <c r="U62" i="5"/>
  <c r="T62" i="5"/>
  <c r="S62" i="5"/>
  <c r="R62" i="5"/>
  <c r="Q62" i="5"/>
  <c r="P62" i="5"/>
  <c r="X61" i="5"/>
  <c r="W61" i="5"/>
  <c r="V61" i="5"/>
  <c r="U61" i="5"/>
  <c r="T61" i="5"/>
  <c r="S61" i="5"/>
  <c r="R61" i="5"/>
  <c r="Q61" i="5"/>
  <c r="P61" i="5"/>
  <c r="X60" i="5"/>
  <c r="W60" i="5"/>
  <c r="V60" i="5"/>
  <c r="U60" i="5"/>
  <c r="T60" i="5"/>
  <c r="S60" i="5"/>
  <c r="R60" i="5"/>
  <c r="Q60" i="5"/>
  <c r="P60" i="5"/>
  <c r="X59" i="5"/>
  <c r="W59" i="5"/>
  <c r="V59" i="5"/>
  <c r="U59" i="5"/>
  <c r="T59" i="5"/>
  <c r="S59" i="5"/>
  <c r="R59" i="5"/>
  <c r="Q59" i="5"/>
  <c r="P59" i="5"/>
  <c r="X58" i="5"/>
  <c r="W58" i="5"/>
  <c r="V58" i="5"/>
  <c r="U58" i="5"/>
  <c r="T58" i="5"/>
  <c r="S58" i="5"/>
  <c r="R58" i="5"/>
  <c r="Q58" i="5"/>
  <c r="P58" i="5"/>
  <c r="X57" i="5"/>
  <c r="W57" i="5"/>
  <c r="V57" i="5"/>
  <c r="U57" i="5"/>
  <c r="T57" i="5"/>
  <c r="S57" i="5"/>
  <c r="R57" i="5"/>
  <c r="Q57" i="5"/>
  <c r="P57" i="5"/>
  <c r="X56" i="5"/>
  <c r="W56" i="5"/>
  <c r="V56" i="5"/>
  <c r="U56" i="5"/>
  <c r="T56" i="5"/>
  <c r="S56" i="5"/>
  <c r="R56" i="5"/>
  <c r="Q56" i="5"/>
  <c r="P56" i="5"/>
  <c r="X55" i="5"/>
  <c r="W55" i="5"/>
  <c r="V55" i="5"/>
  <c r="U55" i="5"/>
  <c r="T55" i="5"/>
  <c r="S55" i="5"/>
  <c r="R55" i="5"/>
  <c r="Q55" i="5"/>
  <c r="P55" i="5"/>
  <c r="X54" i="5"/>
  <c r="W54" i="5"/>
  <c r="V54" i="5"/>
  <c r="U54" i="5"/>
  <c r="T54" i="5"/>
  <c r="S54" i="5"/>
  <c r="R54" i="5"/>
  <c r="Q54" i="5"/>
  <c r="P54" i="5"/>
  <c r="E54" i="5"/>
  <c r="X53" i="5"/>
  <c r="W53" i="5"/>
  <c r="V53" i="5"/>
  <c r="U53" i="5"/>
  <c r="T53" i="5"/>
  <c r="S53" i="5"/>
  <c r="R53" i="5"/>
  <c r="Q53" i="5"/>
  <c r="P53" i="5"/>
  <c r="X52" i="5"/>
  <c r="W52" i="5"/>
  <c r="V52" i="5"/>
  <c r="U52" i="5"/>
  <c r="T52" i="5"/>
  <c r="S52" i="5"/>
  <c r="R52" i="5"/>
  <c r="Q52" i="5"/>
  <c r="P52" i="5"/>
  <c r="X51" i="5"/>
  <c r="W51" i="5"/>
  <c r="V51" i="5"/>
  <c r="U51" i="5"/>
  <c r="T51" i="5"/>
  <c r="S51" i="5"/>
  <c r="R51" i="5"/>
  <c r="Q51" i="5"/>
  <c r="P51" i="5"/>
  <c r="X50" i="5"/>
  <c r="W50" i="5"/>
  <c r="V50" i="5"/>
  <c r="U50" i="5"/>
  <c r="T50" i="5"/>
  <c r="S50" i="5"/>
  <c r="R50" i="5"/>
  <c r="Q50" i="5"/>
  <c r="P50" i="5"/>
  <c r="X49" i="5"/>
  <c r="W49" i="5"/>
  <c r="V49" i="5"/>
  <c r="U49" i="5"/>
  <c r="T49" i="5"/>
  <c r="S49" i="5"/>
  <c r="R49" i="5"/>
  <c r="Q49" i="5"/>
  <c r="P49" i="5"/>
  <c r="X48" i="5"/>
  <c r="W48" i="5"/>
  <c r="V48" i="5"/>
  <c r="U48" i="5"/>
  <c r="T48" i="5"/>
  <c r="S48" i="5"/>
  <c r="R48" i="5"/>
  <c r="Q48" i="5"/>
  <c r="P48" i="5"/>
  <c r="X47" i="5"/>
  <c r="W47" i="5"/>
  <c r="V47" i="5"/>
  <c r="U47" i="5"/>
  <c r="T47" i="5"/>
  <c r="S47" i="5"/>
  <c r="R47" i="5"/>
  <c r="Q47" i="5"/>
  <c r="P47" i="5"/>
  <c r="X46" i="5"/>
  <c r="W46" i="5"/>
  <c r="V46" i="5"/>
  <c r="U46" i="5"/>
  <c r="T46" i="5"/>
  <c r="S46" i="5"/>
  <c r="R46" i="5"/>
  <c r="Q46" i="5"/>
  <c r="P46" i="5"/>
  <c r="X45" i="5"/>
  <c r="W45" i="5"/>
  <c r="V45" i="5"/>
  <c r="U45" i="5"/>
  <c r="T45" i="5"/>
  <c r="S45" i="5"/>
  <c r="R45" i="5"/>
  <c r="Q45" i="5"/>
  <c r="P45" i="5"/>
  <c r="X44" i="5"/>
  <c r="W44" i="5"/>
  <c r="V44" i="5"/>
  <c r="U44" i="5"/>
  <c r="T44" i="5"/>
  <c r="S44" i="5"/>
  <c r="R44" i="5"/>
  <c r="Q44" i="5"/>
  <c r="P44" i="5"/>
  <c r="X43" i="5"/>
  <c r="W43" i="5"/>
  <c r="V43" i="5"/>
  <c r="U43" i="5"/>
  <c r="T43" i="5"/>
  <c r="S43" i="5"/>
  <c r="R43" i="5"/>
  <c r="Q43" i="5"/>
  <c r="P43" i="5"/>
  <c r="X42" i="5"/>
  <c r="W42" i="5"/>
  <c r="V42" i="5"/>
  <c r="U42" i="5"/>
  <c r="T42" i="5"/>
  <c r="S42" i="5"/>
  <c r="R42" i="5"/>
  <c r="Q42" i="5"/>
  <c r="P42" i="5"/>
  <c r="X41" i="5"/>
  <c r="W41" i="5"/>
  <c r="V41" i="5"/>
  <c r="U41" i="5"/>
  <c r="T41" i="5"/>
  <c r="S41" i="5"/>
  <c r="R41" i="5"/>
  <c r="Q41" i="5"/>
  <c r="P41" i="5"/>
  <c r="X40" i="5"/>
  <c r="W40" i="5"/>
  <c r="V40" i="5"/>
  <c r="U40" i="5"/>
  <c r="T40" i="5"/>
  <c r="S40" i="5"/>
  <c r="R40" i="5"/>
  <c r="Q40" i="5"/>
  <c r="P40" i="5"/>
  <c r="X39" i="5"/>
  <c r="W39" i="5"/>
  <c r="V39" i="5"/>
  <c r="U39" i="5"/>
  <c r="T39" i="5"/>
  <c r="S39" i="5"/>
  <c r="R39" i="5"/>
  <c r="Q39" i="5"/>
  <c r="P39" i="5"/>
  <c r="X38" i="5"/>
  <c r="W38" i="5"/>
  <c r="V38" i="5"/>
  <c r="U38" i="5"/>
  <c r="T38" i="5"/>
  <c r="S38" i="5"/>
  <c r="R38" i="5"/>
  <c r="Q38" i="5"/>
  <c r="P38" i="5"/>
  <c r="X37" i="5"/>
  <c r="W37" i="5"/>
  <c r="V37" i="5"/>
  <c r="U37" i="5"/>
  <c r="T37" i="5"/>
  <c r="S37" i="5"/>
  <c r="R37" i="5"/>
  <c r="Q37" i="5"/>
  <c r="P37" i="5"/>
  <c r="X36" i="5"/>
  <c r="W36" i="5"/>
  <c r="V36" i="5"/>
  <c r="U36" i="5"/>
  <c r="T36" i="5"/>
  <c r="S36" i="5"/>
  <c r="R36" i="5"/>
  <c r="Q36" i="5"/>
  <c r="P36" i="5"/>
  <c r="X35" i="5"/>
  <c r="W35" i="5"/>
  <c r="V35" i="5"/>
  <c r="U35" i="5"/>
  <c r="T35" i="5"/>
  <c r="S35" i="5"/>
  <c r="R35" i="5"/>
  <c r="Q35" i="5"/>
  <c r="P35" i="5"/>
  <c r="X34" i="5"/>
  <c r="W34" i="5"/>
  <c r="V34" i="5"/>
  <c r="U34" i="5"/>
  <c r="T34" i="5"/>
  <c r="S34" i="5"/>
  <c r="R34" i="5"/>
  <c r="Q34" i="5"/>
  <c r="P34" i="5"/>
  <c r="X33" i="5"/>
  <c r="W33" i="5"/>
  <c r="V33" i="5"/>
  <c r="U33" i="5"/>
  <c r="T33" i="5"/>
  <c r="S33" i="5"/>
  <c r="R33" i="5"/>
  <c r="Q33" i="5"/>
  <c r="P33" i="5"/>
  <c r="X32" i="5"/>
  <c r="W32" i="5"/>
  <c r="V32" i="5"/>
  <c r="U32" i="5"/>
  <c r="T32" i="5"/>
  <c r="S32" i="5"/>
  <c r="R32" i="5"/>
  <c r="Q32" i="5"/>
  <c r="P32" i="5"/>
  <c r="X31" i="5"/>
  <c r="W31" i="5"/>
  <c r="V31" i="5"/>
  <c r="U31" i="5"/>
  <c r="T31" i="5"/>
  <c r="S31" i="5"/>
  <c r="R31" i="5"/>
  <c r="Q31" i="5"/>
  <c r="P31" i="5"/>
  <c r="X30" i="5"/>
  <c r="W30" i="5"/>
  <c r="V30" i="5"/>
  <c r="U30" i="5"/>
  <c r="T30" i="5"/>
  <c r="S30" i="5"/>
  <c r="R30" i="5"/>
  <c r="Q30" i="5"/>
  <c r="P30" i="5"/>
  <c r="X29" i="5"/>
  <c r="W29" i="5"/>
  <c r="V29" i="5"/>
  <c r="U29" i="5"/>
  <c r="T29" i="5"/>
  <c r="S29" i="5"/>
  <c r="R29" i="5"/>
  <c r="Q29" i="5"/>
  <c r="P29" i="5"/>
  <c r="X28" i="5"/>
  <c r="W28" i="5"/>
  <c r="V28" i="5"/>
  <c r="U28" i="5"/>
  <c r="T28" i="5"/>
  <c r="S28" i="5"/>
  <c r="R28" i="5"/>
  <c r="Q28" i="5"/>
  <c r="P28" i="5"/>
  <c r="X27" i="5"/>
  <c r="W27" i="5"/>
  <c r="V27" i="5"/>
  <c r="U27" i="5"/>
  <c r="T27" i="5"/>
  <c r="S27" i="5"/>
  <c r="R27" i="5"/>
  <c r="Q27" i="5"/>
  <c r="P27" i="5"/>
  <c r="X26" i="5"/>
  <c r="W26" i="5"/>
  <c r="V26" i="5"/>
  <c r="U26" i="5"/>
  <c r="T26" i="5"/>
  <c r="S26" i="5"/>
  <c r="R26" i="5"/>
  <c r="Q26" i="5"/>
  <c r="P26" i="5"/>
  <c r="X25" i="5"/>
  <c r="W25" i="5"/>
  <c r="V25" i="5"/>
  <c r="U25" i="5"/>
  <c r="T25" i="5"/>
  <c r="S25" i="5"/>
  <c r="R25" i="5"/>
  <c r="Q25" i="5"/>
  <c r="P25" i="5"/>
  <c r="X24" i="5"/>
  <c r="W24" i="5"/>
  <c r="V24" i="5"/>
  <c r="U24" i="5"/>
  <c r="T24" i="5"/>
  <c r="S24" i="5"/>
  <c r="R24" i="5"/>
  <c r="Q24" i="5"/>
  <c r="P24" i="5"/>
  <c r="X23" i="5"/>
  <c r="W23" i="5"/>
  <c r="V23" i="5"/>
  <c r="U23" i="5"/>
  <c r="T23" i="5"/>
  <c r="S23" i="5"/>
  <c r="R23" i="5"/>
  <c r="Q23" i="5"/>
  <c r="P23" i="5"/>
  <c r="X22" i="5"/>
  <c r="W22" i="5"/>
  <c r="V22" i="5"/>
  <c r="U22" i="5"/>
  <c r="T22" i="5"/>
  <c r="S22" i="5"/>
  <c r="R22" i="5"/>
  <c r="Q22" i="5"/>
  <c r="P22" i="5"/>
  <c r="X21" i="5"/>
  <c r="W21" i="5"/>
  <c r="V21" i="5"/>
  <c r="U21" i="5"/>
  <c r="T21" i="5"/>
  <c r="S21" i="5"/>
  <c r="R21" i="5"/>
  <c r="Q21" i="5"/>
  <c r="P21" i="5"/>
  <c r="X20" i="5"/>
  <c r="W20" i="5"/>
  <c r="V20" i="5"/>
  <c r="U20" i="5"/>
  <c r="T20" i="5"/>
  <c r="S20" i="5"/>
  <c r="R20" i="5"/>
  <c r="Q20" i="5"/>
  <c r="P20" i="5"/>
  <c r="X19" i="5"/>
  <c r="W19" i="5"/>
  <c r="V19" i="5"/>
  <c r="U19" i="5"/>
  <c r="T19" i="5"/>
  <c r="S19" i="5"/>
  <c r="R19" i="5"/>
  <c r="Q19" i="5"/>
  <c r="P19" i="5"/>
  <c r="X18" i="5"/>
  <c r="W18" i="5"/>
  <c r="V18" i="5"/>
  <c r="U18" i="5"/>
  <c r="T18" i="5"/>
  <c r="S18" i="5"/>
  <c r="R18" i="5"/>
  <c r="Q18" i="5"/>
  <c r="P18" i="5"/>
  <c r="X17" i="5"/>
  <c r="W17" i="5"/>
  <c r="V17" i="5"/>
  <c r="U17" i="5"/>
  <c r="T17" i="5"/>
  <c r="S17" i="5"/>
  <c r="R17" i="5"/>
  <c r="Q17" i="5"/>
  <c r="P17" i="5"/>
  <c r="X16" i="5"/>
  <c r="W16" i="5"/>
  <c r="V16" i="5"/>
  <c r="U16" i="5"/>
  <c r="T16" i="5"/>
  <c r="S16" i="5"/>
  <c r="R16" i="5"/>
  <c r="Q16" i="5"/>
  <c r="P16" i="5"/>
  <c r="X15" i="5"/>
  <c r="W15" i="5"/>
  <c r="V15" i="5"/>
  <c r="U15" i="5"/>
  <c r="T15" i="5"/>
  <c r="S15" i="5"/>
  <c r="R15" i="5"/>
  <c r="Q15" i="5"/>
  <c r="P15" i="5"/>
  <c r="X14" i="5"/>
  <c r="W14" i="5"/>
  <c r="V14" i="5"/>
  <c r="U14" i="5"/>
  <c r="T14" i="5"/>
  <c r="S14" i="5"/>
  <c r="R14" i="5"/>
  <c r="Q14" i="5"/>
  <c r="P14" i="5"/>
  <c r="X13" i="5"/>
  <c r="W13" i="5"/>
  <c r="V13" i="5"/>
  <c r="U13" i="5"/>
  <c r="T13" i="5"/>
  <c r="S13" i="5"/>
  <c r="R13" i="5"/>
  <c r="Q13" i="5"/>
  <c r="P13" i="5"/>
  <c r="X12" i="5"/>
  <c r="W12" i="5"/>
  <c r="V12" i="5"/>
  <c r="U12" i="5"/>
  <c r="T12" i="5"/>
  <c r="S12" i="5"/>
  <c r="R12" i="5"/>
  <c r="Q12" i="5"/>
  <c r="P12" i="5"/>
  <c r="X11" i="5"/>
  <c r="W11" i="5"/>
  <c r="V11" i="5"/>
  <c r="U11" i="5"/>
  <c r="T11" i="5"/>
  <c r="S11" i="5"/>
  <c r="R11" i="5"/>
  <c r="Q11" i="5"/>
  <c r="P11" i="5"/>
  <c r="X10" i="5"/>
  <c r="W10" i="5"/>
  <c r="V10" i="5"/>
  <c r="U10" i="5"/>
  <c r="T10" i="5"/>
  <c r="S10" i="5"/>
  <c r="R10" i="5"/>
  <c r="Q10" i="5"/>
  <c r="P10" i="5"/>
  <c r="X9" i="5"/>
  <c r="W9" i="5"/>
  <c r="V9" i="5"/>
  <c r="U9" i="5"/>
  <c r="T9" i="5"/>
  <c r="S9" i="5"/>
  <c r="R9" i="5"/>
  <c r="Q9" i="5"/>
  <c r="P9" i="5"/>
  <c r="X8" i="5"/>
  <c r="W8" i="5"/>
  <c r="V8" i="5"/>
  <c r="U8" i="5"/>
  <c r="T8" i="5"/>
  <c r="S8" i="5"/>
  <c r="R8" i="5"/>
  <c r="Q8" i="5"/>
  <c r="P8" i="5"/>
  <c r="X7" i="5"/>
  <c r="W7" i="5"/>
  <c r="V7" i="5"/>
  <c r="U7" i="5"/>
  <c r="T7" i="5"/>
  <c r="S7" i="5"/>
  <c r="R7" i="5"/>
  <c r="Q7" i="5"/>
  <c r="P7" i="5"/>
  <c r="X6" i="5"/>
  <c r="W6" i="5"/>
  <c r="V6" i="5"/>
  <c r="U6" i="5"/>
  <c r="T6" i="5"/>
  <c r="S6" i="5"/>
  <c r="R6" i="5"/>
  <c r="Q6" i="5"/>
  <c r="P6" i="5"/>
  <c r="X5" i="5"/>
  <c r="W5" i="5"/>
  <c r="V5" i="5"/>
  <c r="U5" i="5"/>
  <c r="T5" i="5"/>
  <c r="S5" i="5"/>
  <c r="R5" i="5"/>
  <c r="Q5" i="5"/>
  <c r="P5" i="5"/>
  <c r="X4" i="5"/>
  <c r="W4" i="5"/>
  <c r="V4" i="5"/>
  <c r="U4" i="5"/>
  <c r="T4" i="5"/>
  <c r="S4" i="5"/>
  <c r="R4" i="5"/>
  <c r="Q4" i="5"/>
  <c r="P4" i="5"/>
  <c r="X3" i="5"/>
  <c r="W3" i="5"/>
  <c r="V3" i="5"/>
  <c r="U3" i="5"/>
  <c r="T3" i="5"/>
  <c r="S3" i="5"/>
  <c r="R3" i="5"/>
  <c r="Q3" i="5"/>
  <c r="P3" i="5"/>
  <c r="B15" i="4"/>
  <c r="B14" i="4"/>
  <c r="F13" i="4"/>
  <c r="B13" i="4"/>
  <c r="F12" i="4"/>
  <c r="B12" i="4"/>
  <c r="F11" i="4"/>
  <c r="B11" i="4"/>
  <c r="F6" i="4"/>
  <c r="F5" i="4"/>
  <c r="B5" i="4"/>
  <c r="F4" i="4"/>
  <c r="B4" i="4"/>
  <c r="F3" i="4"/>
  <c r="B3" i="4"/>
  <c r="B6" i="5" l="1"/>
  <c r="B24" i="5"/>
  <c r="B27" i="5"/>
  <c r="Z324" i="5"/>
  <c r="Y324" i="5"/>
  <c r="Z323" i="5"/>
  <c r="Y323" i="5"/>
  <c r="Z322" i="5"/>
  <c r="Y322" i="5"/>
  <c r="Z321" i="5"/>
  <c r="Y321" i="5"/>
  <c r="Z320" i="5"/>
  <c r="Y320" i="5"/>
  <c r="Z319" i="5"/>
  <c r="Y319" i="5"/>
  <c r="Z318" i="5"/>
  <c r="Y318" i="5"/>
  <c r="Z317" i="5"/>
  <c r="Y317" i="5"/>
  <c r="Z316" i="5"/>
  <c r="Y316" i="5"/>
  <c r="Z315" i="5"/>
  <c r="Y315" i="5"/>
  <c r="Z314" i="5"/>
  <c r="Y314" i="5"/>
  <c r="Z313" i="5"/>
  <c r="Y313" i="5"/>
  <c r="Z312" i="5"/>
  <c r="Y312" i="5"/>
  <c r="Z311" i="5"/>
  <c r="Y311" i="5"/>
  <c r="Z310" i="5"/>
  <c r="Y310" i="5"/>
  <c r="Z309" i="5"/>
  <c r="Y309" i="5"/>
  <c r="Z308" i="5"/>
  <c r="Y308" i="5"/>
  <c r="Z307" i="5"/>
  <c r="Y307" i="5"/>
  <c r="Z306" i="5"/>
  <c r="Y306" i="5"/>
  <c r="Z305" i="5"/>
  <c r="Y305" i="5"/>
  <c r="Z303" i="5"/>
  <c r="Y303" i="5"/>
  <c r="Z302" i="5"/>
  <c r="Y302" i="5"/>
  <c r="Z301" i="5"/>
  <c r="Y301" i="5"/>
  <c r="Y300" i="5"/>
  <c r="Z300" i="5"/>
  <c r="Y299" i="5"/>
  <c r="Z299" i="5"/>
  <c r="Y298" i="5"/>
  <c r="Z298" i="5"/>
  <c r="Y297" i="5"/>
  <c r="Z297" i="5"/>
  <c r="Y296" i="5"/>
  <c r="Z296" i="5"/>
  <c r="Y295" i="5"/>
  <c r="Z295" i="5"/>
  <c r="Z294" i="5"/>
  <c r="Y294" i="5"/>
  <c r="Z293" i="5"/>
  <c r="Y293" i="5"/>
  <c r="Z292" i="5"/>
  <c r="Y292" i="5"/>
  <c r="Z291" i="5"/>
  <c r="Y291" i="5"/>
  <c r="Z290" i="5"/>
  <c r="Y290" i="5"/>
  <c r="Y289" i="5"/>
  <c r="Z289" i="5"/>
  <c r="Y288" i="5"/>
  <c r="Z288" i="5"/>
  <c r="Z287" i="5"/>
  <c r="Y287" i="5"/>
  <c r="Z286" i="5"/>
  <c r="Y286" i="5"/>
  <c r="Z285" i="5"/>
  <c r="Y285" i="5"/>
  <c r="Z284" i="5"/>
  <c r="Y284" i="5"/>
  <c r="Z282" i="5"/>
  <c r="Y282" i="5"/>
  <c r="Z281" i="5"/>
  <c r="Y281" i="5"/>
  <c r="Y280" i="5"/>
  <c r="Z280" i="5"/>
  <c r="Y279" i="5"/>
  <c r="Z279" i="5"/>
  <c r="Y278" i="5"/>
  <c r="Z278" i="5"/>
  <c r="Y277" i="5"/>
  <c r="Z277" i="5"/>
  <c r="Y276" i="5"/>
  <c r="Z276" i="5"/>
  <c r="Y275" i="5"/>
  <c r="Z275" i="5"/>
  <c r="Y274" i="5"/>
  <c r="Z274" i="5"/>
  <c r="Y273" i="5"/>
  <c r="Z273" i="5"/>
  <c r="Y272" i="5"/>
  <c r="Z272" i="5"/>
  <c r="Y271" i="5"/>
  <c r="Z271" i="5"/>
  <c r="Y270" i="5"/>
  <c r="Z270" i="5"/>
  <c r="Z269" i="5"/>
  <c r="Y269" i="5"/>
  <c r="Z268" i="5"/>
  <c r="Y268" i="5"/>
  <c r="Y267" i="5"/>
  <c r="Z267" i="5"/>
  <c r="Y266" i="5"/>
  <c r="Z266" i="5"/>
  <c r="Z265" i="5"/>
  <c r="Y265" i="5"/>
  <c r="Z264" i="5"/>
  <c r="Y264" i="5"/>
  <c r="Y263" i="5"/>
  <c r="Z263" i="5"/>
  <c r="Y262" i="5"/>
  <c r="Z262" i="5"/>
  <c r="Z261" i="5"/>
  <c r="Y261" i="5"/>
  <c r="Y260" i="5"/>
  <c r="Z260" i="5"/>
  <c r="Z259" i="5"/>
  <c r="Y259" i="5"/>
  <c r="Z258" i="5"/>
  <c r="Y258" i="5"/>
  <c r="Y257" i="5"/>
  <c r="Z257" i="5"/>
  <c r="Z256" i="5"/>
  <c r="Y256" i="5"/>
  <c r="Y255" i="5"/>
  <c r="Z255" i="5"/>
  <c r="Y254" i="5"/>
  <c r="Z254" i="5"/>
  <c r="Z253" i="5"/>
  <c r="Y253" i="5"/>
  <c r="Z252" i="5"/>
  <c r="Y252" i="5"/>
  <c r="Z251" i="5"/>
  <c r="Y251" i="5"/>
  <c r="Y250" i="5"/>
  <c r="Z250" i="5"/>
  <c r="Y249" i="5"/>
  <c r="Z249" i="5"/>
  <c r="Z248" i="5"/>
  <c r="Y248" i="5"/>
  <c r="Y247" i="5"/>
  <c r="Z247" i="5"/>
  <c r="Y246" i="5"/>
  <c r="Z246" i="5"/>
  <c r="Z245" i="5"/>
  <c r="Y245" i="5"/>
  <c r="Z244" i="5"/>
  <c r="Y244" i="5"/>
  <c r="Z243" i="5"/>
  <c r="Y243" i="5"/>
  <c r="Y242" i="5"/>
  <c r="Z242" i="5"/>
  <c r="Z241" i="5"/>
  <c r="Y241" i="5"/>
  <c r="Y240" i="5"/>
  <c r="Z240" i="5"/>
  <c r="Z239" i="5"/>
  <c r="Y239" i="5"/>
  <c r="Y238" i="5"/>
  <c r="Z238" i="5"/>
  <c r="Z237" i="5"/>
  <c r="Y237" i="5"/>
  <c r="Y236" i="5"/>
  <c r="Z236" i="5"/>
  <c r="Z235" i="5"/>
  <c r="Y235" i="5"/>
  <c r="Y234" i="5"/>
  <c r="Z234" i="5"/>
  <c r="Y233" i="5"/>
  <c r="Z233" i="5"/>
  <c r="Y232" i="5"/>
  <c r="Z232" i="5"/>
  <c r="Y231" i="5"/>
  <c r="Z231" i="5"/>
  <c r="Y230" i="5"/>
  <c r="Z230" i="5"/>
  <c r="Z229" i="5"/>
  <c r="Y229" i="5"/>
  <c r="Z228" i="5"/>
  <c r="Y228" i="5"/>
  <c r="Z227" i="5"/>
  <c r="Y227" i="5"/>
  <c r="Z226" i="5"/>
  <c r="Y226" i="5"/>
  <c r="Z225" i="5"/>
  <c r="Y225" i="5"/>
  <c r="Y224" i="5"/>
  <c r="Z224" i="5"/>
  <c r="Z223" i="5"/>
  <c r="Y223" i="5"/>
  <c r="Y222" i="5"/>
  <c r="Z222" i="5"/>
  <c r="Y220" i="5"/>
  <c r="Z220" i="5"/>
  <c r="Y219" i="5"/>
  <c r="Z219" i="5"/>
  <c r="Z218" i="5"/>
  <c r="Y218" i="5"/>
  <c r="Y217" i="5"/>
  <c r="Z217" i="5"/>
  <c r="Y216" i="5"/>
  <c r="Z216" i="5"/>
  <c r="Z215" i="5"/>
  <c r="Y215" i="5"/>
  <c r="Z214" i="5"/>
  <c r="Y214" i="5"/>
  <c r="Y213" i="5"/>
  <c r="Z213" i="5"/>
  <c r="Y212" i="5"/>
  <c r="Z212" i="5"/>
  <c r="Y211" i="5"/>
  <c r="Z211" i="5"/>
  <c r="Y210" i="5"/>
  <c r="Z210" i="5"/>
  <c r="Z209" i="5"/>
  <c r="Y209" i="5"/>
  <c r="Z208" i="5"/>
  <c r="Y208" i="5"/>
  <c r="Z207" i="5"/>
  <c r="Y207" i="5"/>
  <c r="Y206" i="5"/>
  <c r="Z206" i="5"/>
  <c r="Y205" i="5"/>
  <c r="Z205" i="5"/>
  <c r="Y204" i="5"/>
  <c r="Z204" i="5"/>
  <c r="Y203" i="5"/>
  <c r="Z203" i="5"/>
  <c r="Z202" i="5"/>
  <c r="Y202" i="5"/>
  <c r="Z201" i="5"/>
  <c r="Y201" i="5"/>
  <c r="Z199" i="5"/>
  <c r="Y199" i="5"/>
  <c r="Y198" i="5"/>
  <c r="Z198" i="5"/>
  <c r="Z197" i="5"/>
  <c r="Y197" i="5"/>
  <c r="Y196" i="5"/>
  <c r="Z196" i="5"/>
  <c r="Z195" i="5"/>
  <c r="Y195" i="5"/>
  <c r="Z194" i="5"/>
  <c r="Y194" i="5"/>
  <c r="Y193" i="5"/>
  <c r="Z193" i="5"/>
  <c r="Z192" i="5"/>
  <c r="Y192" i="5"/>
  <c r="Y191" i="5"/>
  <c r="Z191" i="5"/>
  <c r="Y190" i="5"/>
  <c r="Z190" i="5"/>
  <c r="Z189" i="5"/>
  <c r="Y189" i="5"/>
  <c r="Z188" i="5"/>
  <c r="Y188" i="5"/>
  <c r="Z187" i="5"/>
  <c r="Y187" i="5"/>
  <c r="Y186" i="5"/>
  <c r="Z186" i="5"/>
  <c r="Y185" i="5"/>
  <c r="Z185" i="5"/>
  <c r="Y184" i="5"/>
  <c r="Z184" i="5"/>
  <c r="Z183" i="5"/>
  <c r="Y183" i="5"/>
  <c r="Z182" i="5"/>
  <c r="Y182" i="5"/>
  <c r="Y181" i="5"/>
  <c r="Z181" i="5"/>
  <c r="Y180" i="5"/>
  <c r="Z180" i="5"/>
  <c r="Y178" i="5"/>
  <c r="Z178" i="5"/>
  <c r="Y177" i="5"/>
  <c r="Z177" i="5"/>
  <c r="Z176" i="5"/>
  <c r="Y176" i="5"/>
  <c r="Z175" i="5"/>
  <c r="Y175" i="5"/>
  <c r="Y174" i="5"/>
  <c r="Z174" i="5"/>
  <c r="Z173" i="5"/>
  <c r="Y173" i="5"/>
  <c r="Z172" i="5"/>
  <c r="Y172" i="5"/>
  <c r="Z171" i="5"/>
  <c r="Y171" i="5"/>
  <c r="Z170" i="5"/>
  <c r="Y170" i="5"/>
  <c r="Z169" i="5"/>
  <c r="Y169" i="5"/>
  <c r="Y168" i="5"/>
  <c r="Z168" i="5"/>
  <c r="Y167" i="5"/>
  <c r="Z167" i="5"/>
  <c r="Z166" i="5"/>
  <c r="Y166" i="5"/>
  <c r="Z165" i="5"/>
  <c r="Y165" i="5"/>
  <c r="Z164" i="5"/>
  <c r="Y164" i="5"/>
  <c r="Y163" i="5"/>
  <c r="Z163" i="5"/>
  <c r="Z162" i="5"/>
  <c r="Y162" i="5"/>
  <c r="Y161" i="5"/>
  <c r="Z161" i="5"/>
  <c r="Y160" i="5"/>
  <c r="Z160" i="5"/>
  <c r="Y159" i="5"/>
  <c r="Z159" i="5"/>
  <c r="Y158" i="5"/>
  <c r="Z158" i="5"/>
  <c r="Z157" i="5"/>
  <c r="Y157" i="5"/>
  <c r="Y156" i="5"/>
  <c r="Z156" i="5"/>
  <c r="Y155" i="5"/>
  <c r="Z155" i="5"/>
  <c r="Y154" i="5"/>
  <c r="Z154" i="5"/>
  <c r="Z153" i="5"/>
  <c r="Y153" i="5"/>
  <c r="Z152" i="5"/>
  <c r="Y152" i="5"/>
  <c r="Y151" i="5"/>
  <c r="Z151" i="5"/>
  <c r="Y150" i="5"/>
  <c r="Z150" i="5"/>
  <c r="Y149" i="5"/>
  <c r="Z149" i="5"/>
  <c r="Z148" i="5"/>
  <c r="Y148" i="5"/>
  <c r="Y147" i="5"/>
  <c r="Z147" i="5"/>
  <c r="Z146" i="5"/>
  <c r="Y146" i="5"/>
  <c r="Y145" i="5"/>
  <c r="Z145" i="5"/>
  <c r="Z144" i="5"/>
  <c r="Y144" i="5"/>
  <c r="Y143" i="5"/>
  <c r="Z143" i="5"/>
  <c r="Y142" i="5"/>
  <c r="Z142" i="5"/>
  <c r="Z141" i="5"/>
  <c r="Y141" i="5"/>
  <c r="Z140" i="5"/>
  <c r="Y140" i="5"/>
  <c r="Y139" i="5"/>
  <c r="Z139" i="5"/>
  <c r="Z138" i="5"/>
  <c r="Y138" i="5"/>
  <c r="Y137" i="5"/>
  <c r="Z137" i="5"/>
  <c r="Y136" i="5"/>
  <c r="Z136" i="5"/>
  <c r="Y135" i="5"/>
  <c r="Z135" i="5"/>
  <c r="Z134" i="5"/>
  <c r="Y134" i="5"/>
  <c r="Y133" i="5"/>
  <c r="Z133" i="5"/>
  <c r="Y132" i="5"/>
  <c r="Z132" i="5"/>
  <c r="Z131" i="5"/>
  <c r="Y131" i="5"/>
  <c r="Z130" i="5"/>
  <c r="Y130" i="5"/>
  <c r="Y129" i="5"/>
  <c r="Z129" i="5"/>
  <c r="Z128" i="5"/>
  <c r="Y128" i="5"/>
  <c r="Y127" i="5"/>
  <c r="Z127" i="5"/>
  <c r="Z126" i="5"/>
  <c r="Y126" i="5"/>
  <c r="Z125" i="5"/>
  <c r="Y125" i="5"/>
  <c r="Y124" i="5"/>
  <c r="Z124" i="5"/>
  <c r="Y123" i="5"/>
  <c r="Z123" i="5"/>
  <c r="Z122" i="5"/>
  <c r="Y122" i="5"/>
  <c r="Z121" i="5"/>
  <c r="Y121" i="5"/>
  <c r="Z120" i="5"/>
  <c r="Y120" i="5"/>
  <c r="Y119" i="5"/>
  <c r="Z119" i="5"/>
  <c r="Y118" i="5"/>
  <c r="Z118" i="5"/>
  <c r="Z117" i="5"/>
  <c r="Y117" i="5"/>
  <c r="Y116" i="5"/>
  <c r="Z116" i="5"/>
  <c r="Y115" i="5"/>
  <c r="Z115" i="5"/>
  <c r="Y114" i="5"/>
  <c r="Z114" i="5"/>
  <c r="Z113" i="5"/>
  <c r="Y113" i="5"/>
  <c r="Y112" i="5"/>
  <c r="Z112" i="5"/>
  <c r="Y111" i="5"/>
  <c r="Z111" i="5"/>
  <c r="Z110" i="5"/>
  <c r="Y110" i="5"/>
  <c r="Y109" i="5"/>
  <c r="Z109" i="5"/>
  <c r="Y108" i="5"/>
  <c r="Z108" i="5"/>
  <c r="Y107" i="5"/>
  <c r="Z107" i="5"/>
  <c r="Z106" i="5"/>
  <c r="Y106" i="5"/>
  <c r="Z105" i="5"/>
  <c r="Y105" i="5"/>
  <c r="Z104" i="5"/>
  <c r="Y104" i="5"/>
  <c r="Z103" i="5"/>
  <c r="Y103" i="5"/>
  <c r="Z102" i="5"/>
  <c r="Y102" i="5"/>
  <c r="Y101" i="5"/>
  <c r="Z101" i="5"/>
  <c r="Y100" i="5"/>
  <c r="Z100" i="5"/>
  <c r="Z99" i="5"/>
  <c r="Y99" i="5"/>
  <c r="Z98" i="5"/>
  <c r="Y98" i="5"/>
  <c r="Z97" i="5"/>
  <c r="Y97" i="5"/>
  <c r="Y96" i="5"/>
  <c r="Z96" i="5"/>
  <c r="Z95" i="5"/>
  <c r="Y95" i="5"/>
  <c r="Z94" i="5"/>
  <c r="Y94" i="5"/>
  <c r="Y93" i="5"/>
  <c r="Z93" i="5"/>
  <c r="Z92" i="5"/>
  <c r="Y92" i="5"/>
  <c r="Z91" i="5"/>
  <c r="Y91" i="5"/>
  <c r="Z90" i="5"/>
  <c r="Y90" i="5"/>
  <c r="Y89" i="5"/>
  <c r="Z89" i="5"/>
  <c r="Y88" i="5"/>
  <c r="Z88" i="5"/>
  <c r="Z87" i="5"/>
  <c r="Y87" i="5"/>
  <c r="Z86" i="5"/>
  <c r="Y86" i="5"/>
  <c r="Z85" i="5"/>
  <c r="Y85" i="5"/>
  <c r="Y84" i="5"/>
  <c r="Z84" i="5"/>
  <c r="Z83" i="5"/>
  <c r="Y83" i="5"/>
  <c r="Z82" i="5"/>
  <c r="Y82" i="5"/>
  <c r="Y81" i="5"/>
  <c r="Z81" i="5"/>
  <c r="Y80" i="5"/>
  <c r="Z80" i="5"/>
  <c r="Z79" i="5"/>
  <c r="Y79" i="5"/>
  <c r="Z78" i="5"/>
  <c r="Y78" i="5"/>
  <c r="Y77" i="5"/>
  <c r="Z77" i="5"/>
  <c r="Y76" i="5"/>
  <c r="Z76" i="5"/>
  <c r="Y75" i="5"/>
  <c r="Z75" i="5"/>
  <c r="Z74" i="5"/>
  <c r="Y74" i="5"/>
  <c r="Y73" i="5"/>
  <c r="Z73" i="5"/>
  <c r="Y72" i="5"/>
  <c r="Z72" i="5"/>
  <c r="Z71" i="5"/>
  <c r="Y71" i="5"/>
  <c r="Z70" i="5"/>
  <c r="Y70" i="5"/>
  <c r="Y69" i="5"/>
  <c r="Z69" i="5"/>
  <c r="Z68" i="5"/>
  <c r="Y68" i="5"/>
  <c r="Z67" i="5"/>
  <c r="Y67" i="5"/>
  <c r="Y66" i="5"/>
  <c r="Z66" i="5"/>
  <c r="Z65" i="5"/>
  <c r="Y65" i="5"/>
  <c r="Z64" i="5"/>
  <c r="Y64" i="5"/>
  <c r="Y63" i="5"/>
  <c r="Z63" i="5"/>
  <c r="Z62" i="5"/>
  <c r="Y62" i="5"/>
  <c r="Z61" i="5"/>
  <c r="Y61" i="5"/>
  <c r="Y60" i="5"/>
  <c r="Z60" i="5"/>
  <c r="Y59" i="5"/>
  <c r="Z59" i="5"/>
  <c r="Z58" i="5"/>
  <c r="Y58" i="5"/>
  <c r="Z57" i="5"/>
  <c r="Y57" i="5"/>
  <c r="Y56" i="5"/>
  <c r="Z56" i="5"/>
  <c r="Y55" i="5"/>
  <c r="Z55" i="5"/>
  <c r="Z54" i="5"/>
  <c r="Y54" i="5"/>
  <c r="Y53" i="5"/>
  <c r="Z53" i="5"/>
  <c r="Y52" i="5"/>
  <c r="Z52" i="5"/>
  <c r="Y51" i="5"/>
  <c r="Z51" i="5"/>
  <c r="Y50" i="5"/>
  <c r="Z50" i="5"/>
  <c r="Z49" i="5"/>
  <c r="Y49" i="5"/>
  <c r="Z48" i="5"/>
  <c r="Y48" i="5"/>
  <c r="Y47" i="5"/>
  <c r="Z47" i="5"/>
  <c r="Y46" i="5"/>
  <c r="Z46" i="5"/>
  <c r="Y45" i="5"/>
  <c r="Z45" i="5"/>
  <c r="Z44" i="5"/>
  <c r="Y44" i="5"/>
  <c r="Z43" i="5"/>
  <c r="Y43" i="5"/>
  <c r="Z42" i="5"/>
  <c r="Y42" i="5"/>
  <c r="Z41" i="5"/>
  <c r="Y41" i="5"/>
  <c r="Z40" i="5"/>
  <c r="Y40" i="5"/>
  <c r="Y39" i="5"/>
  <c r="Z39" i="5"/>
  <c r="Z38" i="5"/>
  <c r="Y38" i="5"/>
  <c r="Y37" i="5"/>
  <c r="Z37" i="5"/>
  <c r="Z36" i="5"/>
  <c r="Y36" i="5"/>
  <c r="Y35" i="5"/>
  <c r="Z35" i="5"/>
  <c r="Y34" i="5"/>
  <c r="Z34" i="5"/>
  <c r="Y33" i="5"/>
  <c r="Z33" i="5"/>
  <c r="Y32" i="5"/>
  <c r="Z32" i="5"/>
  <c r="Y31" i="5"/>
  <c r="Z31" i="5"/>
  <c r="Z30" i="5"/>
  <c r="Y30" i="5"/>
  <c r="Y29" i="5"/>
  <c r="Z29" i="5"/>
  <c r="Y28" i="5"/>
  <c r="Z28" i="5"/>
  <c r="Y27" i="5"/>
  <c r="Z27" i="5"/>
  <c r="Z26" i="5"/>
  <c r="Y26" i="5"/>
  <c r="Y25" i="5"/>
  <c r="Z25" i="5"/>
  <c r="Y24" i="5"/>
  <c r="Z24" i="5"/>
  <c r="Y23" i="5"/>
  <c r="Z23" i="5"/>
  <c r="Y22" i="5"/>
  <c r="Z22" i="5"/>
  <c r="Z21" i="5"/>
  <c r="Y21" i="5"/>
  <c r="Y20" i="5"/>
  <c r="Z20" i="5"/>
  <c r="Y19" i="5"/>
  <c r="Z19" i="5"/>
  <c r="Y18" i="5"/>
  <c r="Z18" i="5"/>
  <c r="Y17" i="5"/>
  <c r="Z17" i="5"/>
  <c r="Y16" i="5"/>
  <c r="Z16" i="5"/>
  <c r="Y15" i="5"/>
  <c r="Z15" i="5"/>
  <c r="Z14" i="5"/>
  <c r="Y14" i="5"/>
  <c r="Z13" i="5"/>
  <c r="Y13" i="5"/>
  <c r="Z12" i="5"/>
  <c r="Y12" i="5"/>
  <c r="Z11" i="5"/>
  <c r="Y11" i="5"/>
  <c r="Y10" i="5"/>
  <c r="Z10" i="5"/>
  <c r="Z9" i="5"/>
  <c r="Y9" i="5"/>
  <c r="Z8" i="5"/>
  <c r="Y8" i="5"/>
  <c r="Z7" i="5"/>
  <c r="Y7" i="5"/>
  <c r="Y6" i="5"/>
  <c r="Z6" i="5"/>
  <c r="Y5" i="5"/>
  <c r="Z5" i="5"/>
  <c r="Z4" i="5"/>
  <c r="Y4" i="5"/>
  <c r="B38" i="5"/>
  <c r="B39" i="5"/>
  <c r="B25" i="5"/>
  <c r="B28" i="5"/>
  <c r="B26" i="5"/>
  <c r="B32" i="5"/>
  <c r="B33" i="5"/>
  <c r="C45" i="5"/>
  <c r="B53" i="5"/>
  <c r="B54" i="5"/>
  <c r="B45" i="5"/>
  <c r="C47" i="5"/>
  <c r="B44" i="5"/>
  <c r="C46" i="5"/>
  <c r="B47" i="5"/>
  <c r="B52" i="5"/>
  <c r="C54" i="5"/>
  <c r="C52" i="5"/>
  <c r="C53" i="5"/>
  <c r="C44" i="5"/>
  <c r="B46" i="5"/>
  <c r="D46" i="5" s="1"/>
  <c r="Y221" i="5"/>
  <c r="Y283" i="5"/>
  <c r="Y304" i="5"/>
  <c r="Z304" i="5"/>
  <c r="Y3" i="5"/>
  <c r="Z221" i="5"/>
  <c r="Z179" i="5"/>
  <c r="Y179" i="5"/>
  <c r="Y200" i="5"/>
  <c r="Z283" i="5"/>
  <c r="Z200" i="5"/>
  <c r="Z3" i="5"/>
  <c r="F14" i="4"/>
  <c r="G11" i="4"/>
  <c r="B16" i="4"/>
  <c r="C11" i="4" s="1"/>
  <c r="F7" i="4"/>
  <c r="G3" i="4" s="1"/>
  <c r="B6" i="4"/>
  <c r="C3" i="4" s="1"/>
  <c r="D45" i="5" l="1"/>
  <c r="B13" i="5"/>
  <c r="B14" i="5"/>
  <c r="B20" i="5"/>
  <c r="D54" i="5"/>
  <c r="B19" i="5"/>
  <c r="D53" i="5"/>
  <c r="B12" i="5"/>
  <c r="B40" i="5"/>
  <c r="B34" i="5"/>
  <c r="D44" i="5"/>
  <c r="B48" i="5"/>
  <c r="D52" i="5"/>
  <c r="B55" i="5"/>
  <c r="B56" i="5"/>
  <c r="C55" i="5"/>
  <c r="C56" i="5"/>
  <c r="G12" i="4"/>
  <c r="G13" i="4"/>
  <c r="C12" i="4"/>
  <c r="C13" i="4"/>
  <c r="C14" i="4"/>
  <c r="C15" i="4"/>
  <c r="G4" i="4"/>
  <c r="G5" i="4"/>
  <c r="G6" i="4"/>
  <c r="C4" i="4"/>
  <c r="C5" i="4"/>
  <c r="D47" i="5"/>
  <c r="C48" i="5"/>
  <c r="B7" i="5"/>
  <c r="B8" i="5" s="1"/>
  <c r="B21" i="5" l="1"/>
  <c r="C19" i="5" s="1"/>
  <c r="B15" i="5"/>
  <c r="D48" i="5"/>
  <c r="E44" i="5" s="1"/>
  <c r="D56" i="5"/>
  <c r="D55" i="5"/>
  <c r="G14" i="4"/>
  <c r="C16" i="4"/>
  <c r="G7" i="4"/>
  <c r="C6" i="4"/>
  <c r="C39" i="5"/>
  <c r="C38" i="5"/>
  <c r="C40" i="5" s="1"/>
  <c r="C33" i="5"/>
  <c r="C32" i="5"/>
  <c r="C34" i="5" s="1"/>
  <c r="C20" i="5" l="1"/>
  <c r="C21" i="5" s="1"/>
  <c r="C12" i="5"/>
  <c r="C14" i="5"/>
  <c r="C13" i="5"/>
  <c r="E47" i="5"/>
  <c r="E46" i="5"/>
  <c r="E45" i="5"/>
  <c r="E53" i="5"/>
  <c r="E52" i="5"/>
  <c r="E55" i="5" s="1"/>
  <c r="C15" i="5" l="1"/>
  <c r="E4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B7" authorId="0" shapeId="0" xr:uid="{00000000-0006-0000-0400-000001000000}">
      <text>
        <r>
          <rPr>
            <sz val="11"/>
            <color theme="1"/>
            <rFont val="等线"/>
            <family val="2"/>
            <scheme val="minor"/>
          </rPr>
          <t>公式依据辅助区Y列：同一患者编号首次出现记为1。</t>
        </r>
      </text>
    </comment>
  </commentList>
</comments>
</file>

<file path=xl/sharedStrings.xml><?xml version="1.0" encoding="utf-8"?>
<sst xmlns="http://schemas.openxmlformats.org/spreadsheetml/2006/main" count="2902" uniqueCount="774">
  <si>
    <t>IBD疾病类型</t>
  </si>
  <si>
    <t>IBD疾病细分类型</t>
  </si>
  <si>
    <t>分组</t>
  </si>
  <si>
    <t>样本数</t>
  </si>
  <si>
    <t>占比</t>
  </si>
  <si>
    <t>CD</t>
  </si>
  <si>
    <t>iCD</t>
  </si>
  <si>
    <t>UC</t>
  </si>
  <si>
    <t>cCD</t>
  </si>
  <si>
    <t>Not IBD</t>
  </si>
  <si>
    <t>合计</t>
  </si>
  <si>
    <t>组织病理学特征</t>
  </si>
  <si>
    <t>深部溃疡</t>
  </si>
  <si>
    <t>Macroscopic inflammation</t>
  </si>
  <si>
    <t>Yes（1）</t>
  </si>
  <si>
    <t>Microscopic inflammation</t>
  </si>
  <si>
    <t>No（0）</t>
  </si>
  <si>
    <t>Normal</t>
  </si>
  <si>
    <t>NA</t>
  </si>
  <si>
    <t>Undetermined</t>
  </si>
  <si>
    <t>统计说明</t>
  </si>
  <si>
    <t>统计范围：第二张工作表第2–323行，共322个GSM样本；四列均无空白。</t>
  </si>
  <si>
    <t>GEO中GSM1598427的diagnosis与l2 type原值为“not IBD”；COUNTIF不区分大小写，统计时与“Not IBD”合并。</t>
  </si>
  <si>
    <t>深部溃疡按照“表注”转换并统计：Yes=1，No=0，NA保留为NA。</t>
  </si>
  <si>
    <t>第二轮校对：逐GSM对照GEO family SOFT与series matrix，322个样本均一致，错配0。</t>
  </si>
  <si>
    <t>表头对应</t>
  </si>
  <si>
    <t>患者编号</t>
  </si>
  <si>
    <t>Title字段中含有括号的部分</t>
  </si>
  <si>
    <t>Yes</t>
  </si>
  <si>
    <t>取样部位</t>
  </si>
  <si>
    <t>tissue</t>
  </si>
  <si>
    <t>No</t>
  </si>
  <si>
    <t>性别</t>
  </si>
  <si>
    <t>Sex</t>
  </si>
  <si>
    <t>年龄（诊断入组时）</t>
  </si>
  <si>
    <t>age at diagnosis</t>
  </si>
  <si>
    <t>Paris分期</t>
  </si>
  <si>
    <t>paris age</t>
  </si>
  <si>
    <t>diagnosis</t>
  </si>
  <si>
    <t>l2 type</t>
  </si>
  <si>
    <t>histopathology</t>
  </si>
  <si>
    <t>deep ulcer</t>
  </si>
  <si>
    <t>GSM编号</t>
  </si>
  <si>
    <t>GSM1598408</t>
  </si>
  <si>
    <t>CCFA_Risk_001</t>
  </si>
  <si>
    <t>Ileum（回肠）</t>
  </si>
  <si>
    <t>女</t>
  </si>
  <si>
    <t>A1b</t>
  </si>
  <si>
    <t>GSM1598409</t>
  </si>
  <si>
    <t>CCFA_Risk_002</t>
  </si>
  <si>
    <t>男</t>
  </si>
  <si>
    <t>GSM1598410</t>
  </si>
  <si>
    <t>CCFA_Risk_003</t>
  </si>
  <si>
    <t>GSM1598411</t>
  </si>
  <si>
    <t>CCFA_Risk_004</t>
  </si>
  <si>
    <t>GSM1598412</t>
  </si>
  <si>
    <t>CCFA_Risk_005</t>
  </si>
  <si>
    <t>GSM1598413</t>
  </si>
  <si>
    <t>CCFA_Risk_006</t>
  </si>
  <si>
    <t>GSM1598414</t>
  </si>
  <si>
    <t>CCFA_Risk_007</t>
  </si>
  <si>
    <t>GSM1598415</t>
  </si>
  <si>
    <t>CCFA_Risk_008</t>
  </si>
  <si>
    <t>GSM1598416</t>
  </si>
  <si>
    <t>CCFA_Risk_009</t>
  </si>
  <si>
    <t>A1a</t>
  </si>
  <si>
    <t>GSM1598417</t>
  </si>
  <si>
    <t>CCFA_Risk_010</t>
  </si>
  <si>
    <t>GSM1598418</t>
  </si>
  <si>
    <t>CCFA_Risk_011</t>
  </si>
  <si>
    <t>GSM1598419</t>
  </si>
  <si>
    <t>CCFA_Risk_012</t>
  </si>
  <si>
    <t>GSM1598420</t>
  </si>
  <si>
    <t>CCFA_Risk_013</t>
  </si>
  <si>
    <t>GSM1598421</t>
  </si>
  <si>
    <t>CCFA_Risk_014</t>
  </si>
  <si>
    <t>GSM1598422</t>
  </si>
  <si>
    <t>CCFA_Risk_015</t>
  </si>
  <si>
    <t>GSM1598423</t>
  </si>
  <si>
    <t>CCFA_Risk_016</t>
  </si>
  <si>
    <t>GSM1598424</t>
  </si>
  <si>
    <t>CCFA_Risk_017</t>
  </si>
  <si>
    <t>GSM1598425</t>
  </si>
  <si>
    <t>CCFA_Risk_018</t>
  </si>
  <si>
    <t>GSM1598426</t>
  </si>
  <si>
    <t>CCFA_Risk_019</t>
  </si>
  <si>
    <t>GSM1598427</t>
  </si>
  <si>
    <t>CCFA_Risk_020</t>
  </si>
  <si>
    <t>not IBD</t>
  </si>
  <si>
    <t>GSM1598428</t>
  </si>
  <si>
    <t>CCFA_Risk_021</t>
  </si>
  <si>
    <t>GSM1598429</t>
  </si>
  <si>
    <t>CCFA_Risk_022</t>
  </si>
  <si>
    <t>GSM1598430</t>
  </si>
  <si>
    <t>CCFA_Risk_023</t>
  </si>
  <si>
    <t>GSM1598431</t>
  </si>
  <si>
    <t>CCFA_Risk_024</t>
  </si>
  <si>
    <t>GSM1598432</t>
  </si>
  <si>
    <t>CCFA_Risk_025</t>
  </si>
  <si>
    <t>GSM1598433</t>
  </si>
  <si>
    <t>CCFA_Risk_026</t>
  </si>
  <si>
    <t>GSM1598434</t>
  </si>
  <si>
    <t>CCFA_Risk_027</t>
  </si>
  <si>
    <t>GSM1598435</t>
  </si>
  <si>
    <t>CCFA_Risk_028</t>
  </si>
  <si>
    <t>GSM1598436</t>
  </si>
  <si>
    <t>CCFA_Risk_029</t>
  </si>
  <si>
    <t>GSM1598437</t>
  </si>
  <si>
    <t>CCFA_Risk_030</t>
  </si>
  <si>
    <t>GSM1598438</t>
  </si>
  <si>
    <t>CCFA_Risk_031</t>
  </si>
  <si>
    <t>GSM1598439</t>
  </si>
  <si>
    <t>CCFA_Risk_032</t>
  </si>
  <si>
    <t>GSM1598440</t>
  </si>
  <si>
    <t>CCFA_Risk_033</t>
  </si>
  <si>
    <t>GSM1598441</t>
  </si>
  <si>
    <t>CCFA_Risk_034</t>
  </si>
  <si>
    <t>GSM1598442</t>
  </si>
  <si>
    <t>CCFA_Risk_035</t>
  </si>
  <si>
    <t>GSM1598443</t>
  </si>
  <si>
    <t>CCFA_Risk_036</t>
  </si>
  <si>
    <t>GSM1598444</t>
  </si>
  <si>
    <t>CCFA_Risk_037</t>
  </si>
  <si>
    <t>GSM1598445</t>
  </si>
  <si>
    <t>CCFA_Risk_038</t>
  </si>
  <si>
    <t>GSM1598446</t>
  </si>
  <si>
    <t>CCFA_Risk_039</t>
  </si>
  <si>
    <t>GSM1598447</t>
  </si>
  <si>
    <t>CCFA_Risk_040</t>
  </si>
  <si>
    <t>GSM1598448</t>
  </si>
  <si>
    <t>CCFA_Risk_041</t>
  </si>
  <si>
    <t>GSM1598449</t>
  </si>
  <si>
    <t>CCFA_Risk_042</t>
  </si>
  <si>
    <t>GSM1598450</t>
  </si>
  <si>
    <t>CCFA_Risk_043</t>
  </si>
  <si>
    <t>GSM1598451</t>
  </si>
  <si>
    <t>CCFA_Risk_044</t>
  </si>
  <si>
    <t>GSM1598452</t>
  </si>
  <si>
    <t>CCFA_Risk_045</t>
  </si>
  <si>
    <t>GSM1598453</t>
  </si>
  <si>
    <t>CCFA_Risk_046</t>
  </si>
  <si>
    <t>GSM1598454</t>
  </si>
  <si>
    <t>CCFA_Risk_047</t>
  </si>
  <si>
    <t>GSM1598455</t>
  </si>
  <si>
    <t>CCFA_Risk_048</t>
  </si>
  <si>
    <t>GSM1598456</t>
  </si>
  <si>
    <t>CCFA_Risk_049</t>
  </si>
  <si>
    <t>GSM1598457</t>
  </si>
  <si>
    <t>CCFA_Risk_050</t>
  </si>
  <si>
    <t>GSM1598458</t>
  </si>
  <si>
    <t>CCFA_Risk_051</t>
  </si>
  <si>
    <t>GSM1598459</t>
  </si>
  <si>
    <t>CCFA_Risk_052</t>
  </si>
  <si>
    <t>GSM1598460</t>
  </si>
  <si>
    <t>CCFA_Risk_053</t>
  </si>
  <si>
    <t>GSM1598461</t>
  </si>
  <si>
    <t>CCFA_Risk_054</t>
  </si>
  <si>
    <t>GSM1598462</t>
  </si>
  <si>
    <t>CCFA_Risk_055</t>
  </si>
  <si>
    <t>GSM1598463</t>
  </si>
  <si>
    <t>CCFA_Risk_056</t>
  </si>
  <si>
    <t>GSM1598464</t>
  </si>
  <si>
    <t>CCFA_Risk_057</t>
  </si>
  <si>
    <t>GSM1598465</t>
  </si>
  <si>
    <t>CCFA_Risk_058</t>
  </si>
  <si>
    <t>GSM1598466</t>
  </si>
  <si>
    <t>CCFA_Risk_059</t>
  </si>
  <si>
    <t>GSM1598467</t>
  </si>
  <si>
    <t>CCFA_Risk_060</t>
  </si>
  <si>
    <t>GSM1598468</t>
  </si>
  <si>
    <t>CCFA_Risk_061</t>
  </si>
  <si>
    <t>GSM1598469</t>
  </si>
  <si>
    <t>CCFA_Risk_062</t>
  </si>
  <si>
    <t>GSM1598470</t>
  </si>
  <si>
    <t>CCFA_Risk_063</t>
  </si>
  <si>
    <t>GSM1598471</t>
  </si>
  <si>
    <t>CCFA_Risk_064</t>
  </si>
  <si>
    <t>GSM1598472</t>
  </si>
  <si>
    <t>CCFA_Risk_065</t>
  </si>
  <si>
    <t>GSM1598473</t>
  </si>
  <si>
    <t>CCFA_Risk_066</t>
  </si>
  <si>
    <t>GSM1598474</t>
  </si>
  <si>
    <t>CCFA_Risk_067</t>
  </si>
  <si>
    <t>GSM1598475</t>
  </si>
  <si>
    <t>CCFA_Risk_068</t>
  </si>
  <si>
    <t>GSM1598476</t>
  </si>
  <si>
    <t>CCFA_Risk_069</t>
  </si>
  <si>
    <t>GSM1598477</t>
  </si>
  <si>
    <t>CCFA_Risk_070</t>
  </si>
  <si>
    <t>GSM1598478</t>
  </si>
  <si>
    <t>CCFA_Risk_071</t>
  </si>
  <si>
    <t>GSM1598479</t>
  </si>
  <si>
    <t>CCFA_Risk_072</t>
  </si>
  <si>
    <t>GSM1598480</t>
  </si>
  <si>
    <t>CCFA_Risk_073</t>
  </si>
  <si>
    <t>GSM1598481</t>
  </si>
  <si>
    <t>CCFA_Risk_074</t>
  </si>
  <si>
    <t>GSM1598482</t>
  </si>
  <si>
    <t>CCFA_Risk_075</t>
  </si>
  <si>
    <t>GSM1598483</t>
  </si>
  <si>
    <t>CCFA_Risk_076</t>
  </si>
  <si>
    <t>GSM1598484</t>
  </si>
  <si>
    <t>CCFA_Risk_077</t>
  </si>
  <si>
    <t>GSM1598485</t>
  </si>
  <si>
    <t>CCFA_Risk_078</t>
  </si>
  <si>
    <t>GSM1598486</t>
  </si>
  <si>
    <t>CCFA_Risk_079</t>
  </si>
  <si>
    <t>GSM1598487</t>
  </si>
  <si>
    <t>CCFA_Risk_080</t>
  </si>
  <si>
    <t>GSM1598488</t>
  </si>
  <si>
    <t>CCFA_Risk_081</t>
  </si>
  <si>
    <t>GSM1598489</t>
  </si>
  <si>
    <t>CCFA_Risk_082</t>
  </si>
  <si>
    <t>GSM1598490</t>
  </si>
  <si>
    <t>CCFA_Risk_083</t>
  </si>
  <si>
    <t>GSM1598491</t>
  </si>
  <si>
    <t>CCFA_Risk_084</t>
  </si>
  <si>
    <t>GSM1598492</t>
  </si>
  <si>
    <t>CCFA_Risk_085</t>
  </si>
  <si>
    <t>GSM1598493</t>
  </si>
  <si>
    <t>CCFA_Risk_086</t>
  </si>
  <si>
    <t>GSM1598494</t>
  </si>
  <si>
    <t>CCFA_Risk_087</t>
  </si>
  <si>
    <t>GSM1598495</t>
  </si>
  <si>
    <t>CCFA_Risk_088</t>
  </si>
  <si>
    <t>GSM1598496</t>
  </si>
  <si>
    <t>CCFA_Risk_089</t>
  </si>
  <si>
    <t>GSM1598497</t>
  </si>
  <si>
    <t>CCFA_Risk_090</t>
  </si>
  <si>
    <t>GSM1598498</t>
  </si>
  <si>
    <t>CCFA_Risk_091</t>
  </si>
  <si>
    <t>GSM1598499</t>
  </si>
  <si>
    <t>CCFA_Risk_092</t>
  </si>
  <si>
    <t>GSM1598500</t>
  </si>
  <si>
    <t>CCFA_Risk_093</t>
  </si>
  <si>
    <t>GSM1598501</t>
  </si>
  <si>
    <t>CCFA_Risk_094</t>
  </si>
  <si>
    <t>GSM1598502</t>
  </si>
  <si>
    <t>CCFA_Risk_095</t>
  </si>
  <si>
    <t>GSM1598503</t>
  </si>
  <si>
    <t>CCFA_Risk_096</t>
  </si>
  <si>
    <t>GSM1598504</t>
  </si>
  <si>
    <t>CCFA_Risk_097</t>
  </si>
  <si>
    <t>GSM1598505</t>
  </si>
  <si>
    <t>CCFA_Risk_098</t>
  </si>
  <si>
    <t>GSM1598506</t>
  </si>
  <si>
    <t>CCFA_Risk_099</t>
  </si>
  <si>
    <t>GSM1598507</t>
  </si>
  <si>
    <t>CCFA_Risk_100</t>
  </si>
  <si>
    <t>GSM1598508</t>
  </si>
  <si>
    <t>CCFA_Risk_101</t>
  </si>
  <si>
    <t>GSM1598509</t>
  </si>
  <si>
    <t>CCFA_Risk_102</t>
  </si>
  <si>
    <t>GSM1598510</t>
  </si>
  <si>
    <t>CCFA_Risk_103</t>
  </si>
  <si>
    <t>GSM1598511</t>
  </si>
  <si>
    <t>CCFA_Risk_104</t>
  </si>
  <si>
    <t>GSM1598512</t>
  </si>
  <si>
    <t>CCFA_Risk_105</t>
  </si>
  <si>
    <t>GSM1598513</t>
  </si>
  <si>
    <t>CCFA_Risk_106</t>
  </si>
  <si>
    <t>GSM1598514</t>
  </si>
  <si>
    <t>CCFA_Risk_107</t>
  </si>
  <si>
    <t>GSM1598515</t>
  </si>
  <si>
    <t>CCFA_Risk_108</t>
  </si>
  <si>
    <t>GSM1598516</t>
  </si>
  <si>
    <t>CCFA_Risk_109</t>
  </si>
  <si>
    <t>GSM1598517</t>
  </si>
  <si>
    <t>CCFA_Risk_110</t>
  </si>
  <si>
    <t>GSM1598518</t>
  </si>
  <si>
    <t>CCFA_Risk_111</t>
  </si>
  <si>
    <t>GSM1598519</t>
  </si>
  <si>
    <t>CCFA_Risk_112</t>
  </si>
  <si>
    <t>GSM1598520</t>
  </si>
  <si>
    <t>CCFA_Risk_113</t>
  </si>
  <si>
    <t>GSM1598521</t>
  </si>
  <si>
    <t>CCFA_Risk_114</t>
  </si>
  <si>
    <t>GSM1598522</t>
  </si>
  <si>
    <t>CCFA_Risk_115</t>
  </si>
  <si>
    <t>GSM1598523</t>
  </si>
  <si>
    <t>CCFA_Risk_116</t>
  </si>
  <si>
    <t>GSM1598524</t>
  </si>
  <si>
    <t>CCFA_Risk_117</t>
  </si>
  <si>
    <t>GSM1598525</t>
  </si>
  <si>
    <t>CCFA_Risk_118</t>
  </si>
  <si>
    <t>GSM1598526</t>
  </si>
  <si>
    <t>CCFA_Risk_119</t>
  </si>
  <si>
    <t>GSM1598527</t>
  </si>
  <si>
    <t>CCFA_Risk_120</t>
  </si>
  <si>
    <t>GSM1598528</t>
  </si>
  <si>
    <t>CCFA_Risk_121</t>
  </si>
  <si>
    <t>GSM1598529</t>
  </si>
  <si>
    <t>CCFA_Risk_122</t>
  </si>
  <si>
    <t>GSM1598530</t>
  </si>
  <si>
    <t>CCFA_Risk_123</t>
  </si>
  <si>
    <t>GSM1598531</t>
  </si>
  <si>
    <t>CCFA_Risk_124</t>
  </si>
  <si>
    <t>GSM1598532</t>
  </si>
  <si>
    <t>CCFA_Risk_125</t>
  </si>
  <si>
    <t>GSM1598533</t>
  </si>
  <si>
    <t>CCFA_Risk_126</t>
  </si>
  <si>
    <t>GSM1598534</t>
  </si>
  <si>
    <t>CCFA_Risk_127</t>
  </si>
  <si>
    <t>GSM1598535</t>
  </si>
  <si>
    <t>CCFA_Risk_128</t>
  </si>
  <si>
    <t>GSM1598536</t>
  </si>
  <si>
    <t>CCFA_Risk_129</t>
  </si>
  <si>
    <t>GSM1598537</t>
  </si>
  <si>
    <t>CCFA_Risk_130</t>
  </si>
  <si>
    <t>GSM1598538</t>
  </si>
  <si>
    <t>CCFA_Risk_131</t>
  </si>
  <si>
    <t>GSM1598539</t>
  </si>
  <si>
    <t>CCFA_Risk_132</t>
  </si>
  <si>
    <t>GSM1598540</t>
  </si>
  <si>
    <t>CCFA_Risk_133</t>
  </si>
  <si>
    <t>GSM1598541</t>
  </si>
  <si>
    <t>CCFA_Risk_134</t>
  </si>
  <si>
    <t>GSM1598542</t>
  </si>
  <si>
    <t>CCFA_Risk_135</t>
  </si>
  <si>
    <t>GSM1598543</t>
  </si>
  <si>
    <t>CCFA_Risk_136</t>
  </si>
  <si>
    <t>GSM1598544</t>
  </si>
  <si>
    <t>CCFA_Risk_137</t>
  </si>
  <si>
    <t>GSM1598545</t>
  </si>
  <si>
    <t>CCFA_Risk_138</t>
  </si>
  <si>
    <t>GSM1598546</t>
  </si>
  <si>
    <t>CCFA_Risk_139</t>
  </si>
  <si>
    <t>GSM1598547</t>
  </si>
  <si>
    <t>CCFA_Risk_140</t>
  </si>
  <si>
    <t>GSM1598548</t>
  </si>
  <si>
    <t>CCFA_Risk_141</t>
  </si>
  <si>
    <t>GSM1598549</t>
  </si>
  <si>
    <t>CCFA_Risk_142</t>
  </si>
  <si>
    <t>GSM1598550</t>
  </si>
  <si>
    <t>CCFA_Risk_143</t>
  </si>
  <si>
    <t>GSM1598551</t>
  </si>
  <si>
    <t>CCFA_Risk_144</t>
  </si>
  <si>
    <t>GSM1598552</t>
  </si>
  <si>
    <t>CCFA_Risk_145</t>
  </si>
  <si>
    <t>GSM1598553</t>
  </si>
  <si>
    <t>CCFA_Risk_146</t>
  </si>
  <si>
    <t>GSM1598554</t>
  </si>
  <si>
    <t>CCFA_Risk_147</t>
  </si>
  <si>
    <t>GSM1598555</t>
  </si>
  <si>
    <t>CCFA_Risk_148</t>
  </si>
  <si>
    <t>GSM1598556</t>
  </si>
  <si>
    <t>CCFA_Risk_149</t>
  </si>
  <si>
    <t>GSM1598557</t>
  </si>
  <si>
    <t>CCFA_Risk_150</t>
  </si>
  <si>
    <t>GSM1598558</t>
  </si>
  <si>
    <t>CCFA_Risk_151</t>
  </si>
  <si>
    <t>GSM1598559</t>
  </si>
  <si>
    <t>CCFA_Risk_152</t>
  </si>
  <si>
    <t>GSM1598560</t>
  </si>
  <si>
    <t>CCFA_Risk_153</t>
  </si>
  <si>
    <t>GSM1598561</t>
  </si>
  <si>
    <t>CCFA_Risk_154</t>
  </si>
  <si>
    <t>GSM1598562</t>
  </si>
  <si>
    <t>CCFA_Risk_155</t>
  </si>
  <si>
    <t>GSM1598563</t>
  </si>
  <si>
    <t>CCFA_Risk_156</t>
  </si>
  <si>
    <t>GSM1598564</t>
  </si>
  <si>
    <t>CCFA_Risk_157</t>
  </si>
  <si>
    <t>GSM1598565</t>
  </si>
  <si>
    <t>CCFA_Risk_158</t>
  </si>
  <si>
    <t>GSM1598566</t>
  </si>
  <si>
    <t>CCFA_Risk_159</t>
  </si>
  <si>
    <t>GSM1598567</t>
  </si>
  <si>
    <t>CCFA_Risk_160</t>
  </si>
  <si>
    <t>GSM1598568</t>
  </si>
  <si>
    <t>CCFA_Risk_161</t>
  </si>
  <si>
    <t>GSM1598569</t>
  </si>
  <si>
    <t>CCFA_Risk_162</t>
  </si>
  <si>
    <t>GSM1598570</t>
  </si>
  <si>
    <t>CCFA_Risk_163</t>
  </si>
  <si>
    <t>GSM1598571</t>
  </si>
  <si>
    <t>CCFA_Risk_164</t>
  </si>
  <si>
    <t>GSM1598572</t>
  </si>
  <si>
    <t>CCFA_Risk_165</t>
  </si>
  <si>
    <t>GSM1598573</t>
  </si>
  <si>
    <t>CCFA_Risk_166</t>
  </si>
  <si>
    <t>GSM1598574</t>
  </si>
  <si>
    <t>CCFA_Risk_167</t>
  </si>
  <si>
    <t>GSM1598575</t>
  </si>
  <si>
    <t>CCFA_Risk_168</t>
  </si>
  <si>
    <t>GSM1598576</t>
  </si>
  <si>
    <t>CCFA_Risk_169</t>
  </si>
  <si>
    <t>GSM1598577</t>
  </si>
  <si>
    <t>CCFA_Risk_170</t>
  </si>
  <si>
    <t>GSM1598578</t>
  </si>
  <si>
    <t>CCFA_Risk_171</t>
  </si>
  <si>
    <t>GSM1598579</t>
  </si>
  <si>
    <t>CCFA_Risk_172</t>
  </si>
  <si>
    <t>GSM1598580</t>
  </si>
  <si>
    <t>CCFA_Risk_173</t>
  </si>
  <si>
    <t>GSM1598581</t>
  </si>
  <si>
    <t>CCFA_Risk_174</t>
  </si>
  <si>
    <t>GSM1598582</t>
  </si>
  <si>
    <t>CCFA_Risk_175</t>
  </si>
  <si>
    <t>GSM1598583</t>
  </si>
  <si>
    <t>CCFA_Risk_176</t>
  </si>
  <si>
    <t>GSM1598584</t>
  </si>
  <si>
    <t>CCFA_Risk_177</t>
  </si>
  <si>
    <t>GSM1598585</t>
  </si>
  <si>
    <t>CCFA_Risk_178</t>
  </si>
  <si>
    <t>GSM1598586</t>
  </si>
  <si>
    <t>CCFA_Risk_179</t>
  </si>
  <si>
    <t>GSM1598587</t>
  </si>
  <si>
    <t>CCFA_Risk_180</t>
  </si>
  <si>
    <t>GSM1598588</t>
  </si>
  <si>
    <t>CCFA_Risk_181</t>
  </si>
  <si>
    <t>GSM1598589</t>
  </si>
  <si>
    <t>CCFA_Risk_182</t>
  </si>
  <si>
    <t>GSM1598590</t>
  </si>
  <si>
    <t>CCFA_Risk_183</t>
  </si>
  <si>
    <t>GSM1598591</t>
  </si>
  <si>
    <t>CCFA_Risk_184</t>
  </si>
  <si>
    <t>GSM1598592</t>
  </si>
  <si>
    <t>CCFA_Risk_185</t>
  </si>
  <si>
    <t>GSM1598593</t>
  </si>
  <si>
    <t>CCFA_Risk_186</t>
  </si>
  <si>
    <t>GSM1598594</t>
  </si>
  <si>
    <t>CCFA_Risk_187</t>
  </si>
  <si>
    <t>GSM1598595</t>
  </si>
  <si>
    <t>CCFA_Risk_188</t>
  </si>
  <si>
    <t>GSM1598596</t>
  </si>
  <si>
    <t>CCFA_Risk_189</t>
  </si>
  <si>
    <t>GSM1598597</t>
  </si>
  <si>
    <t>CCFA_Risk_190</t>
  </si>
  <si>
    <t>GSM1598598</t>
  </si>
  <si>
    <t>CCFA_Risk_191</t>
  </si>
  <si>
    <t>GSM1598599</t>
  </si>
  <si>
    <t>CCFA_Risk_192</t>
  </si>
  <si>
    <t>GSM1598600</t>
  </si>
  <si>
    <t>CCFA_Risk_193</t>
  </si>
  <si>
    <t>GSM1598601</t>
  </si>
  <si>
    <t>CCFA_Risk_194</t>
  </si>
  <si>
    <t>GSM1598602</t>
  </si>
  <si>
    <t>CCFA_Risk_195</t>
  </si>
  <si>
    <t>GSM1598603</t>
  </si>
  <si>
    <t>CCFA_Risk_196</t>
  </si>
  <si>
    <t>GSM1598604</t>
  </si>
  <si>
    <t>CCFA_Risk_197</t>
  </si>
  <si>
    <t>GSM1598605</t>
  </si>
  <si>
    <t>CCFA_Risk_198</t>
  </si>
  <si>
    <t>GSM1598606</t>
  </si>
  <si>
    <t>CCFA_Risk_199</t>
  </si>
  <si>
    <t>GSM1598607</t>
  </si>
  <si>
    <t>CCFA_Risk_200</t>
  </si>
  <si>
    <t>GSM1598608</t>
  </si>
  <si>
    <t>CCFA_Risk_201</t>
  </si>
  <si>
    <t>GSM1598609</t>
  </si>
  <si>
    <t>CCFA_Risk_202</t>
  </si>
  <si>
    <t>GSM1598610</t>
  </si>
  <si>
    <t>CCFA_Risk_203</t>
  </si>
  <si>
    <t>GSM1598611</t>
  </si>
  <si>
    <t>CCFA_Risk_204</t>
  </si>
  <si>
    <t>GSM1598612</t>
  </si>
  <si>
    <t>CCFA_Risk_205</t>
  </si>
  <si>
    <t>GSM1598613</t>
  </si>
  <si>
    <t>CCFA_Risk_206</t>
  </si>
  <si>
    <t>GSM1598614</t>
  </si>
  <si>
    <t>CCFA_Risk_207</t>
  </si>
  <si>
    <t>GSM1598615</t>
  </si>
  <si>
    <t>CCFA_Risk_208</t>
  </si>
  <si>
    <t>GSM1598616</t>
  </si>
  <si>
    <t>CCFA_Risk_209</t>
  </si>
  <si>
    <t>GSM1598617</t>
  </si>
  <si>
    <t>CCFA_Risk_210</t>
  </si>
  <si>
    <t>GSM1598618</t>
  </si>
  <si>
    <t>CCFA_Risk_211</t>
  </si>
  <si>
    <t>GSM1598619</t>
  </si>
  <si>
    <t>CCFA_Risk_212</t>
  </si>
  <si>
    <t>GSM1598620</t>
  </si>
  <si>
    <t>CCFA_Risk_213</t>
  </si>
  <si>
    <t>GSM1598621</t>
  </si>
  <si>
    <t>CCFA_Risk_214</t>
  </si>
  <si>
    <t>GSM1598622</t>
  </si>
  <si>
    <t>CCFA_Risk_215</t>
  </si>
  <si>
    <t>GSM1598623</t>
  </si>
  <si>
    <t>CCFA_Risk_216</t>
  </si>
  <si>
    <t>GSM1598624</t>
  </si>
  <si>
    <t>CCFA_Risk_217</t>
  </si>
  <si>
    <t>GSM1598625</t>
  </si>
  <si>
    <t>CCFA_Risk_218</t>
  </si>
  <si>
    <t>GSM1598626</t>
  </si>
  <si>
    <t>CCFA_Risk_219</t>
  </si>
  <si>
    <t>GSM1598627</t>
  </si>
  <si>
    <t>CCFA_Risk_220</t>
  </si>
  <si>
    <t>GSM1598628</t>
  </si>
  <si>
    <t>CCFA_Risk_221</t>
  </si>
  <si>
    <t>GSM1598629</t>
  </si>
  <si>
    <t>CCFA_Risk_222</t>
  </si>
  <si>
    <t>GSM1598630</t>
  </si>
  <si>
    <t>CCFA_Risk_223</t>
  </si>
  <si>
    <t>GSM1598631</t>
  </si>
  <si>
    <t>CCFA_Risk_224</t>
  </si>
  <si>
    <t>GSM1598632</t>
  </si>
  <si>
    <t>CCFA_Risk_225</t>
  </si>
  <si>
    <t>GSM1598633</t>
  </si>
  <si>
    <t>CCFA_Risk_226</t>
  </si>
  <si>
    <t>GSM1598634</t>
  </si>
  <si>
    <t>CCFA_Risk_227</t>
  </si>
  <si>
    <t>GSM1598635</t>
  </si>
  <si>
    <t>CCFA_Risk_228</t>
  </si>
  <si>
    <t>GSM1598636</t>
  </si>
  <si>
    <t>CCFA_Risk_229</t>
  </si>
  <si>
    <t>GSM1598637</t>
  </si>
  <si>
    <t>CCFA_Risk_230</t>
  </si>
  <si>
    <t>GSM1598638</t>
  </si>
  <si>
    <t>CCFA_Risk_231</t>
  </si>
  <si>
    <t>GSM1598639</t>
  </si>
  <si>
    <t>CCFA_Risk_232</t>
  </si>
  <si>
    <t>GSM1598640</t>
  </si>
  <si>
    <t>CCFA_Risk_233</t>
  </si>
  <si>
    <t>GSM1598641</t>
  </si>
  <si>
    <t>CCFA_Risk_234</t>
  </si>
  <si>
    <t>GSM1598642</t>
  </si>
  <si>
    <t>CCFA_Risk_235</t>
  </si>
  <si>
    <t>GSM1598643</t>
  </si>
  <si>
    <t>CCFA_Risk_236</t>
  </si>
  <si>
    <t>GSM1598644</t>
  </si>
  <si>
    <t>CCFA_Risk_237</t>
  </si>
  <si>
    <t>GSM1598645</t>
  </si>
  <si>
    <t>CCFA_Risk_238</t>
  </si>
  <si>
    <t>GSM1598646</t>
  </si>
  <si>
    <t>CCFA_Risk_239</t>
  </si>
  <si>
    <t>GSM1598647</t>
  </si>
  <si>
    <t>CCFA_Risk_240</t>
  </si>
  <si>
    <t>GSM1598648</t>
  </si>
  <si>
    <t>CCFA_Risk_241</t>
  </si>
  <si>
    <t>GSM1598649</t>
  </si>
  <si>
    <t>CCFA_Risk_242</t>
  </si>
  <si>
    <t>GSM1598650</t>
  </si>
  <si>
    <t>CCFA_Risk_243</t>
  </si>
  <si>
    <t>GSM1598651</t>
  </si>
  <si>
    <t>CCFA_Risk_244</t>
  </si>
  <si>
    <t>GSM1598652</t>
  </si>
  <si>
    <t>CCFA_Risk_245</t>
  </si>
  <si>
    <t>GSM1598653</t>
  </si>
  <si>
    <t>CCFA_Risk_246</t>
  </si>
  <si>
    <t>GSM1598654</t>
  </si>
  <si>
    <t>CCFA_Risk_247</t>
  </si>
  <si>
    <t>GSM1598655</t>
  </si>
  <si>
    <t>CCFA_Risk_248</t>
  </si>
  <si>
    <t>GSM1598656</t>
  </si>
  <si>
    <t>CCFA_Risk_249</t>
  </si>
  <si>
    <t>GSM1598657</t>
  </si>
  <si>
    <t>CCFA_Risk_250</t>
  </si>
  <si>
    <t>GSM1598658</t>
  </si>
  <si>
    <t>CCFA_Risk_251</t>
  </si>
  <si>
    <t>GSM1598659</t>
  </si>
  <si>
    <t>CCFA_Risk_252</t>
  </si>
  <si>
    <t>GSM1598660</t>
  </si>
  <si>
    <t>CCFA_Risk_253</t>
  </si>
  <si>
    <t>GSM1598661</t>
  </si>
  <si>
    <t>CCFA_Risk_254</t>
  </si>
  <si>
    <t>GSM1598662</t>
  </si>
  <si>
    <t>CCFA_Risk_255</t>
  </si>
  <si>
    <t>GSM1598663</t>
  </si>
  <si>
    <t>CCFA_Risk_256</t>
  </si>
  <si>
    <t>GSM1598664</t>
  </si>
  <si>
    <t>CCFA_Risk_257</t>
  </si>
  <si>
    <t>GSM1598665</t>
  </si>
  <si>
    <t>CCFA_Risk_258</t>
  </si>
  <si>
    <t>GSM1598666</t>
  </si>
  <si>
    <t>CCFA_Risk_259</t>
  </si>
  <si>
    <t>GSM1598667</t>
  </si>
  <si>
    <t>CCFA_Risk_260</t>
  </si>
  <si>
    <t>GSM1598668</t>
  </si>
  <si>
    <t>CCFA_Risk_261</t>
  </si>
  <si>
    <t>GSM1598669</t>
  </si>
  <si>
    <t>CCFA_Risk_262</t>
  </si>
  <si>
    <t>GSM1598670</t>
  </si>
  <si>
    <t>CCFA_Risk_263</t>
  </si>
  <si>
    <t>GSM1598671</t>
  </si>
  <si>
    <t>CCFA_Risk_264</t>
  </si>
  <si>
    <t>GSM1598672</t>
  </si>
  <si>
    <t>CCFA_Risk_265</t>
  </si>
  <si>
    <t>GSM1598673</t>
  </si>
  <si>
    <t>CCFA_Risk_266</t>
  </si>
  <si>
    <t>GSM1598674</t>
  </si>
  <si>
    <t>CCFA_Risk_267</t>
  </si>
  <si>
    <t>GSM1598675</t>
  </si>
  <si>
    <t>CCFA_Risk_268</t>
  </si>
  <si>
    <t>GSM1598676</t>
  </si>
  <si>
    <t>CCFA_Risk_269</t>
  </si>
  <si>
    <t>GSM1598677</t>
  </si>
  <si>
    <t>CCFA_Risk_270</t>
  </si>
  <si>
    <t>GSM1598678</t>
  </si>
  <si>
    <t>CCFA_Risk_271</t>
  </si>
  <si>
    <t>GSM1598679</t>
  </si>
  <si>
    <t>CCFA_Risk_272</t>
  </si>
  <si>
    <t>GSM1598680</t>
  </si>
  <si>
    <t>CCFA_Risk_273</t>
  </si>
  <si>
    <t>GSM1598681</t>
  </si>
  <si>
    <t>CCFA_Risk_274</t>
  </si>
  <si>
    <t>GSM1598682</t>
  </si>
  <si>
    <t>CCFA_Risk_275</t>
  </si>
  <si>
    <t>GSM1598683</t>
  </si>
  <si>
    <t>CCFA_Risk_276</t>
  </si>
  <si>
    <t>GSM1598684</t>
  </si>
  <si>
    <t>CCFA_Risk_277</t>
  </si>
  <si>
    <t>GSM1598685</t>
  </si>
  <si>
    <t>CCFA_Risk_278</t>
  </si>
  <si>
    <t>GSM1598686</t>
  </si>
  <si>
    <t>CCFA_Risk_279</t>
  </si>
  <si>
    <t>GSM1598687</t>
  </si>
  <si>
    <t>CCFA_Risk_280</t>
  </si>
  <si>
    <t>GSM1598688</t>
  </si>
  <si>
    <t>CCFA_Risk_281</t>
  </si>
  <si>
    <t>GSM1598689</t>
  </si>
  <si>
    <t>CCFA_Risk_282</t>
  </si>
  <si>
    <t>GSM1598690</t>
  </si>
  <si>
    <t>CCFA_Risk_283</t>
  </si>
  <si>
    <t>GSM1598691</t>
  </si>
  <si>
    <t>CCFA_Risk_284</t>
  </si>
  <si>
    <t>GSM1598692</t>
  </si>
  <si>
    <t>CCFA_Risk_285</t>
  </si>
  <si>
    <t>GSM1598693</t>
  </si>
  <si>
    <t>CCFA_Risk_286</t>
  </si>
  <si>
    <t>GSM1598694</t>
  </si>
  <si>
    <t>CCFA_Risk_287</t>
  </si>
  <si>
    <t>GSM1598695</t>
  </si>
  <si>
    <t>CCFA_Risk_288</t>
  </si>
  <si>
    <t>GSM1598696</t>
  </si>
  <si>
    <t>CCFA_Risk_289</t>
  </si>
  <si>
    <t>GSM1598697</t>
  </si>
  <si>
    <t>CCFA_Risk_290</t>
  </si>
  <si>
    <t>GSM1598698</t>
  </si>
  <si>
    <t>CCFA_Risk_291</t>
  </si>
  <si>
    <t>GSM1598699</t>
  </si>
  <si>
    <t>CCFA_Risk_292</t>
  </si>
  <si>
    <t>GSM1598700</t>
  </si>
  <si>
    <t>CCFA_Risk_293</t>
  </si>
  <si>
    <t>GSM1598701</t>
  </si>
  <si>
    <t>CCFA_Risk_294</t>
  </si>
  <si>
    <t>GSM1598702</t>
  </si>
  <si>
    <t>CCFA_Risk_295</t>
  </si>
  <si>
    <t>GSM1598703</t>
  </si>
  <si>
    <t>CCFA_Risk_296</t>
  </si>
  <si>
    <t>GSM1598704</t>
  </si>
  <si>
    <t>CCFA_Risk_297</t>
  </si>
  <si>
    <t>GSM1598705</t>
  </si>
  <si>
    <t>CCFA_Risk_298</t>
  </si>
  <si>
    <t>GSM1598706</t>
  </si>
  <si>
    <t>CCFA_Risk_299</t>
  </si>
  <si>
    <t>GSM1598707</t>
  </si>
  <si>
    <t>CCFA_Risk_300</t>
  </si>
  <si>
    <t>GSM1598708</t>
  </si>
  <si>
    <t>CCFA_Risk_301</t>
  </si>
  <si>
    <t>GSM1598709</t>
  </si>
  <si>
    <t>CCFA_Risk_302</t>
  </si>
  <si>
    <t>GSM1598710</t>
  </si>
  <si>
    <t>CCFA_Risk_303</t>
  </si>
  <si>
    <t>GSM1598711</t>
  </si>
  <si>
    <t>CCFA_Risk_304</t>
  </si>
  <si>
    <t>GSM1598712</t>
  </si>
  <si>
    <t>CCFA_Risk_305</t>
  </si>
  <si>
    <t>GSM1598713</t>
  </si>
  <si>
    <t>CCFA_Risk_306</t>
  </si>
  <si>
    <t>GSM1598714</t>
  </si>
  <si>
    <t>CCFA_Risk_307</t>
  </si>
  <si>
    <t>GSM1598715</t>
  </si>
  <si>
    <t>CCFA_Risk_308</t>
  </si>
  <si>
    <t>GSM1598716</t>
  </si>
  <si>
    <t>CCFA_Risk_309</t>
  </si>
  <si>
    <t>GSM1598717</t>
  </si>
  <si>
    <t>CCFA_Risk_310</t>
  </si>
  <si>
    <t>GSM1598718</t>
  </si>
  <si>
    <t>CCFA_Risk_311</t>
  </si>
  <si>
    <t>GSM1598719</t>
  </si>
  <si>
    <t>CCFA_Risk_312</t>
  </si>
  <si>
    <t>GSM1598720</t>
  </si>
  <si>
    <t>CCFA_Risk_313</t>
  </si>
  <si>
    <t>GSM1598721</t>
  </si>
  <si>
    <t>CCFA_Risk_314</t>
  </si>
  <si>
    <t>GSM1598722</t>
  </si>
  <si>
    <t>CCFA_Risk_315</t>
  </si>
  <si>
    <t>GSM1598723</t>
  </si>
  <si>
    <t>CCFA_Risk_316</t>
  </si>
  <si>
    <t>GSM1598724</t>
  </si>
  <si>
    <t>CCFA_Risk_317</t>
  </si>
  <si>
    <t>GSM1598725</t>
  </si>
  <si>
    <t>CCFA_Risk_318</t>
  </si>
  <si>
    <t>GSM1598726</t>
  </si>
  <si>
    <t>CCFA_Risk_319</t>
  </si>
  <si>
    <t>GSM1598727</t>
  </si>
  <si>
    <t>CCFA_Risk_320</t>
  </si>
  <si>
    <t>GSM1598728</t>
  </si>
  <si>
    <t>CCFA_Risk_321</t>
  </si>
  <si>
    <t>GSM1598729</t>
  </si>
  <si>
    <t>CCFA_Risk_322</t>
  </si>
  <si>
    <t>CD n=1098</t>
  </si>
  <si>
    <t>Ctl   n=380</t>
  </si>
  <si>
    <t>UC   n=178</t>
  </si>
  <si>
    <t xml:space="preserve">Mean (SD) Age (years) </t>
  </si>
  <si>
    <t>12.2+/-3.1</t>
  </si>
  <si>
    <t>11.8+/-3.8</t>
  </si>
  <si>
    <t>12.2+/-3.4</t>
  </si>
  <si>
    <t>Male gender (%)</t>
  </si>
  <si>
    <t>Cau ethnicity  (3 of 4 grandparents) (%)</t>
  </si>
  <si>
    <t>AA ethnicity  (3 of 4 grandparents) (%)</t>
  </si>
  <si>
    <t>Other ethnicity (%)</t>
  </si>
  <si>
    <t>Perianal involvement (%)</t>
  </si>
  <si>
    <t>na</t>
  </si>
  <si>
    <t>Ileal deep ulcers (n=823) (%)</t>
  </si>
  <si>
    <t>PCDAI Dx</t>
  </si>
  <si>
    <t>&lt;=10 (inactive, %)</t>
  </si>
  <si>
    <t>11 to 30 (mild, %)</t>
  </si>
  <si>
    <t>&gt;=31 (moderate-severe, %)</t>
  </si>
  <si>
    <t>RISK队列相关统计数据</t>
  </si>
  <si>
    <t>公式辅助区（请勿修改；用于患者去重与口径标准化）</t>
  </si>
  <si>
    <t>统计口径：所有结果单元格均保留Excel公式；患者级指标按患者编号去重。疾病字段统一Not IBD大小写，性别、病理和深部溃疡在辅助区标准化。NA不进入已知结局分母。</t>
  </si>
  <si>
    <t>标准疾病组</t>
  </si>
  <si>
    <t>CD亚型</t>
  </si>
  <si>
    <t>标准性别</t>
  </si>
  <si>
    <t>年龄</t>
  </si>
  <si>
    <t>Paris分型</t>
  </si>
  <si>
    <t>标准病理</t>
  </si>
  <si>
    <t>首次患者</t>
  </si>
  <si>
    <t>首次患者-疾病组</t>
  </si>
  <si>
    <t>1. 队列概览</t>
  </si>
  <si>
    <t>指标</t>
  </si>
  <si>
    <t>数值</t>
  </si>
  <si>
    <t>单位/分母</t>
  </si>
  <si>
    <t>说明</t>
  </si>
  <si>
    <t>份</t>
  </si>
  <si>
    <t>GEO样本（GSM）</t>
  </si>
  <si>
    <t>唯一患者数</t>
  </si>
  <si>
    <t>人</t>
  </si>
  <si>
    <t>按患者编号去重</t>
  </si>
  <si>
    <t>平均样本数/患者</t>
  </si>
  <si>
    <t>份/人</t>
  </si>
  <si>
    <t>用于识别重复取样</t>
  </si>
  <si>
    <t>2. 疾病构成（患者级）</t>
  </si>
  <si>
    <t>疾病组</t>
  </si>
  <si>
    <t>患者数</t>
  </si>
  <si>
    <t>患者占比</t>
  </si>
  <si>
    <t>统计口径</t>
  </si>
  <si>
    <t>按患者-疾病组首次出现计数</t>
  </si>
  <si>
    <t>3. 性别与年龄（全队列）</t>
  </si>
  <si>
    <t>女性</t>
  </si>
  <si>
    <t>患者级</t>
  </si>
  <si>
    <t>男性</t>
  </si>
  <si>
    <t>年龄指标</t>
  </si>
  <si>
    <t>单位</t>
  </si>
  <si>
    <t>均值</t>
  </si>
  <si>
    <t>岁</t>
  </si>
  <si>
    <t>诊断/入组年龄</t>
  </si>
  <si>
    <t>标准差</t>
  </si>
  <si>
    <t>中位数</t>
  </si>
  <si>
    <t>最小值</t>
  </si>
  <si>
    <t>最大值</t>
  </si>
  <si>
    <t>4. CD亚型构成（患者级）</t>
  </si>
  <si>
    <t>CD内占比</t>
  </si>
  <si>
    <t>每名患者一个回肠样本</t>
  </si>
  <si>
    <t>CD合计</t>
  </si>
  <si>
    <t>5. Paris年龄分层（患者级）</t>
  </si>
  <si>
    <t>Paris分层</t>
  </si>
  <si>
    <t>全队列</t>
  </si>
  <si>
    <t>6. CD组织病理结果</t>
  </si>
  <si>
    <t>病理类别</t>
  </si>
  <si>
    <t>Macro</t>
  </si>
  <si>
    <t>仅CD患者</t>
  </si>
  <si>
    <t>Micro</t>
  </si>
  <si>
    <t>7. CD深部溃疡</t>
  </si>
  <si>
    <t>已知结果构成</t>
  </si>
  <si>
    <t>N/A不进入已知分母</t>
  </si>
  <si>
    <t>N/A</t>
  </si>
  <si>
    <t>已知结果</t>
  </si>
  <si>
    <t>Yes+No</t>
  </si>
  <si>
    <t>8. 当前不可统计项</t>
  </si>
  <si>
    <t>当前文件仅含治疗前回肠活检及基线表型，不含后续并发症、住院、手术或疾病进展结局。因此不计算‘进展率’或进展时间；若补充患者级随访结局，可再进行累积发生率、Kaplan–Meier或Cox分析。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</si>
</sst>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u/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theme="1"/>
      <name val="宋体"/>
      <family val="2"/>
    </font>
    <font>
      <b/>
      <sz val="11"/>
      <color rgb="FF000000"/>
      <name val="宋体"/>
      <family val="2"/>
    </font>
    <font>
      <b/>
      <sz val="10"/>
      <color rgb="FF000000"/>
      <name val="宋体"/>
      <family val="2"/>
    </font>
    <font>
      <b/>
      <sz val="12"/>
      <color rgb="FFFFFFFF"/>
      <name val="等线"/>
      <family val="3"/>
      <charset val="134"/>
    </font>
    <font>
      <b/>
      <sz val="11"/>
      <name val="等线"/>
      <family val="3"/>
      <charset val="134"/>
    </font>
    <font>
      <b/>
      <sz val="11"/>
      <color rgb="FFFFFFFF"/>
      <name val="等线"/>
      <family val="3"/>
      <charset val="134"/>
    </font>
    <font>
      <b/>
      <sz val="15"/>
      <color rgb="FF1F4E78"/>
      <name val="Arial"/>
      <family val="2"/>
    </font>
    <font>
      <sz val="9"/>
      <color rgb="FF6B7280"/>
      <name val="Arial"/>
      <family val="2"/>
    </font>
    <font>
      <b/>
      <sz val="10"/>
      <color rgb="FF1F4E78"/>
      <name val="Arial"/>
      <family val="2"/>
    </font>
    <font>
      <b/>
      <sz val="9"/>
      <color rgb="FFFFFFFF"/>
      <name val="Arial"/>
      <family val="2"/>
    </font>
    <font>
      <sz val="9"/>
      <color rgb="FF1F2937"/>
      <name val="Arial"/>
      <family val="2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b/>
      <sz val="10"/>
      <color rgb="FF1F2937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medium">
        <color rgb="FF1F4E7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4" xfId="0" applyFont="1" applyBorder="1" applyAlignment="1">
      <alignment horizontal="left" wrapText="1" readingOrder="1"/>
    </xf>
    <xf numFmtId="0" fontId="3" fillId="0" borderId="4" xfId="0" applyFont="1" applyBorder="1" applyAlignment="1">
      <alignment horizontal="left" wrapText="1" readingOrder="1"/>
    </xf>
    <xf numFmtId="0" fontId="3" fillId="0" borderId="6" xfId="0" applyFont="1" applyBorder="1" applyAlignment="1">
      <alignment horizontal="left" wrapText="1" readingOrder="1"/>
    </xf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left" readingOrder="1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4" xfId="0" applyFont="1" applyBorder="1" applyAlignment="1">
      <alignment horizontal="left"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10" fontId="0" fillId="0" borderId="9" xfId="0" applyNumberFormat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10" fontId="8" fillId="4" borderId="9" xfId="0" applyNumberFormat="1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12" fillId="0" borderId="0" xfId="0" applyFont="1"/>
    <xf numFmtId="0" fontId="13" fillId="6" borderId="1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5" fillId="7" borderId="0" xfId="0" applyFont="1" applyFill="1" applyAlignment="1">
      <alignment vertical="center"/>
    </xf>
    <xf numFmtId="0" fontId="15" fillId="6" borderId="1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left" vertical="center" wrapText="1"/>
    </xf>
    <xf numFmtId="3" fontId="16" fillId="0" borderId="12" xfId="0" applyNumberFormat="1" applyFont="1" applyBorder="1" applyAlignment="1">
      <alignment horizontal="center" vertical="center" wrapText="1"/>
    </xf>
    <xf numFmtId="2" fontId="16" fillId="0" borderId="12" xfId="0" applyNumberFormat="1" applyFont="1" applyBorder="1" applyAlignment="1">
      <alignment horizontal="center" vertical="center" wrapText="1"/>
    </xf>
    <xf numFmtId="176" fontId="16" fillId="0" borderId="12" xfId="0" applyNumberFormat="1" applyFont="1" applyBorder="1" applyAlignment="1">
      <alignment horizontal="center" vertical="center" wrapText="1"/>
    </xf>
    <xf numFmtId="0" fontId="17" fillId="8" borderId="13" xfId="0" applyFont="1" applyFill="1" applyBorder="1" applyAlignment="1">
      <alignment horizontal="left" vertical="center" wrapText="1"/>
    </xf>
    <xf numFmtId="3" fontId="17" fillId="8" borderId="13" xfId="0" applyNumberFormat="1" applyFont="1" applyFill="1" applyBorder="1" applyAlignment="1">
      <alignment horizontal="center" vertical="center" wrapText="1"/>
    </xf>
    <xf numFmtId="176" fontId="17" fillId="8" borderId="13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0" fillId="0" borderId="0" xfId="0"/>
    <xf numFmtId="0" fontId="7" fillId="2" borderId="0" xfId="0" applyFont="1" applyFill="1" applyAlignment="1">
      <alignment horizontal="center" vertical="center"/>
    </xf>
    <xf numFmtId="0" fontId="0" fillId="5" borderId="9" xfId="0" applyFill="1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11" fillId="9" borderId="12" xfId="0" applyFont="1" applyFill="1" applyBorder="1" applyAlignment="1">
      <alignment vertical="top" wrapText="1"/>
    </xf>
    <xf numFmtId="0" fontId="11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H7" sqref="H7"/>
    </sheetView>
  </sheetViews>
  <sheetFormatPr defaultRowHeight="13.9" x14ac:dyDescent="0.4"/>
  <cols>
    <col min="1" max="1" width="19.86328125" customWidth="1"/>
    <col min="2" max="2" width="31" customWidth="1"/>
  </cols>
  <sheetData>
    <row r="1" spans="1:5" x14ac:dyDescent="0.4">
      <c r="A1" t="s">
        <v>25</v>
      </c>
      <c r="D1" t="s">
        <v>12</v>
      </c>
    </row>
    <row r="2" spans="1:5" x14ac:dyDescent="0.4">
      <c r="A2" t="s">
        <v>26</v>
      </c>
      <c r="B2" t="s">
        <v>27</v>
      </c>
      <c r="D2" t="s">
        <v>28</v>
      </c>
      <c r="E2">
        <v>1</v>
      </c>
    </row>
    <row r="3" spans="1:5" x14ac:dyDescent="0.4">
      <c r="A3" t="s">
        <v>29</v>
      </c>
      <c r="B3" t="s">
        <v>30</v>
      </c>
      <c r="D3" t="s">
        <v>31</v>
      </c>
      <c r="E3">
        <v>0</v>
      </c>
    </row>
    <row r="4" spans="1:5" x14ac:dyDescent="0.4">
      <c r="A4" t="s">
        <v>32</v>
      </c>
      <c r="B4" t="s">
        <v>33</v>
      </c>
    </row>
    <row r="5" spans="1:5" x14ac:dyDescent="0.4">
      <c r="A5" t="s">
        <v>34</v>
      </c>
      <c r="B5" t="s">
        <v>35</v>
      </c>
    </row>
    <row r="6" spans="1:5" x14ac:dyDescent="0.4">
      <c r="A6" t="s">
        <v>36</v>
      </c>
      <c r="B6" t="s">
        <v>37</v>
      </c>
    </row>
    <row r="7" spans="1:5" x14ac:dyDescent="0.4">
      <c r="A7" t="s">
        <v>0</v>
      </c>
      <c r="B7" t="s">
        <v>38</v>
      </c>
    </row>
    <row r="8" spans="1:5" x14ac:dyDescent="0.4">
      <c r="A8" t="s">
        <v>1</v>
      </c>
      <c r="B8" t="s">
        <v>39</v>
      </c>
    </row>
    <row r="9" spans="1:5" x14ac:dyDescent="0.4">
      <c r="A9" t="s">
        <v>11</v>
      </c>
      <c r="B9" t="s">
        <v>40</v>
      </c>
    </row>
    <row r="10" spans="1:5" x14ac:dyDescent="0.4">
      <c r="A10" t="s">
        <v>12</v>
      </c>
      <c r="B10" t="s">
        <v>41</v>
      </c>
    </row>
  </sheetData>
  <phoneticPr fontId="1" type="noConversion"/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3"/>
  <sheetViews>
    <sheetView topLeftCell="A112" workbookViewId="0">
      <selection activeCell="H13" sqref="H13"/>
    </sheetView>
  </sheetViews>
  <sheetFormatPr defaultRowHeight="13.9" x14ac:dyDescent="0.4"/>
  <cols>
    <col min="1" max="1" width="13.59765625" customWidth="1"/>
    <col min="2" max="2" width="14" customWidth="1"/>
    <col min="3" max="3" width="11.46484375" customWidth="1"/>
    <col min="5" max="5" width="17.46484375" customWidth="1"/>
    <col min="7" max="7" width="11.265625" customWidth="1"/>
    <col min="8" max="8" width="16.73046875" customWidth="1"/>
    <col min="9" max="9" width="24.59765625" customWidth="1"/>
  </cols>
  <sheetData>
    <row r="1" spans="1:10" x14ac:dyDescent="0.4">
      <c r="A1" t="s">
        <v>42</v>
      </c>
      <c r="B1" t="s">
        <v>26</v>
      </c>
      <c r="C1" t="s">
        <v>29</v>
      </c>
      <c r="D1" t="s">
        <v>32</v>
      </c>
      <c r="E1" t="s">
        <v>34</v>
      </c>
      <c r="F1" t="s">
        <v>36</v>
      </c>
      <c r="G1" t="s">
        <v>0</v>
      </c>
      <c r="H1" t="s">
        <v>1</v>
      </c>
      <c r="I1" t="s">
        <v>11</v>
      </c>
      <c r="J1" t="s">
        <v>12</v>
      </c>
    </row>
    <row r="2" spans="1:10" x14ac:dyDescent="0.4">
      <c r="A2" t="s">
        <v>43</v>
      </c>
      <c r="B2" t="s">
        <v>44</v>
      </c>
      <c r="C2" t="s">
        <v>45</v>
      </c>
      <c r="D2" t="s">
        <v>46</v>
      </c>
      <c r="E2">
        <v>15.25</v>
      </c>
      <c r="F2" t="s">
        <v>47</v>
      </c>
      <c r="G2" t="s">
        <v>5</v>
      </c>
      <c r="H2" t="s">
        <v>6</v>
      </c>
      <c r="I2" t="s">
        <v>13</v>
      </c>
      <c r="J2">
        <v>0</v>
      </c>
    </row>
    <row r="3" spans="1:10" x14ac:dyDescent="0.4">
      <c r="A3" t="s">
        <v>48</v>
      </c>
      <c r="B3" t="s">
        <v>49</v>
      </c>
      <c r="C3" t="s">
        <v>45</v>
      </c>
      <c r="D3" t="s">
        <v>50</v>
      </c>
      <c r="E3">
        <v>14.42</v>
      </c>
      <c r="F3" t="s">
        <v>47</v>
      </c>
      <c r="G3" t="s">
        <v>5</v>
      </c>
      <c r="H3" t="s">
        <v>6</v>
      </c>
      <c r="I3" t="s">
        <v>13</v>
      </c>
      <c r="J3">
        <v>0</v>
      </c>
    </row>
    <row r="4" spans="1:10" x14ac:dyDescent="0.4">
      <c r="A4" t="s">
        <v>51</v>
      </c>
      <c r="B4" t="s">
        <v>52</v>
      </c>
      <c r="C4" t="s">
        <v>45</v>
      </c>
      <c r="D4" t="s">
        <v>46</v>
      </c>
      <c r="E4">
        <v>12.5</v>
      </c>
      <c r="F4" t="s">
        <v>47</v>
      </c>
      <c r="G4" t="s">
        <v>5</v>
      </c>
      <c r="H4" t="s">
        <v>6</v>
      </c>
      <c r="I4" t="s">
        <v>13</v>
      </c>
      <c r="J4">
        <v>0</v>
      </c>
    </row>
    <row r="5" spans="1:10" x14ac:dyDescent="0.4">
      <c r="A5" t="s">
        <v>53</v>
      </c>
      <c r="B5" t="s">
        <v>54</v>
      </c>
      <c r="C5" t="s">
        <v>45</v>
      </c>
      <c r="D5" t="s">
        <v>50</v>
      </c>
      <c r="E5">
        <v>14.58</v>
      </c>
      <c r="F5" t="s">
        <v>47</v>
      </c>
      <c r="G5" t="s">
        <v>5</v>
      </c>
      <c r="H5" t="s">
        <v>6</v>
      </c>
      <c r="I5" t="s">
        <v>13</v>
      </c>
      <c r="J5">
        <v>0</v>
      </c>
    </row>
    <row r="6" spans="1:10" x14ac:dyDescent="0.4">
      <c r="A6" t="s">
        <v>55</v>
      </c>
      <c r="B6" t="s">
        <v>56</v>
      </c>
      <c r="C6" t="s">
        <v>45</v>
      </c>
      <c r="D6" t="s">
        <v>46</v>
      </c>
      <c r="E6">
        <v>10.17</v>
      </c>
      <c r="F6" t="s">
        <v>47</v>
      </c>
      <c r="G6" t="s">
        <v>5</v>
      </c>
      <c r="H6" t="s">
        <v>6</v>
      </c>
      <c r="I6" t="s">
        <v>13</v>
      </c>
      <c r="J6">
        <v>0</v>
      </c>
    </row>
    <row r="7" spans="1:10" x14ac:dyDescent="0.4">
      <c r="A7" t="s">
        <v>57</v>
      </c>
      <c r="B7" t="s">
        <v>58</v>
      </c>
      <c r="C7" t="s">
        <v>45</v>
      </c>
      <c r="D7" t="s">
        <v>46</v>
      </c>
      <c r="E7">
        <v>15.75</v>
      </c>
      <c r="F7" t="s">
        <v>47</v>
      </c>
      <c r="G7" t="s">
        <v>5</v>
      </c>
      <c r="H7" t="s">
        <v>6</v>
      </c>
      <c r="I7" t="s">
        <v>13</v>
      </c>
      <c r="J7">
        <v>1</v>
      </c>
    </row>
    <row r="8" spans="1:10" x14ac:dyDescent="0.4">
      <c r="A8" t="s">
        <v>59</v>
      </c>
      <c r="B8" t="s">
        <v>60</v>
      </c>
      <c r="C8" t="s">
        <v>45</v>
      </c>
      <c r="D8" t="s">
        <v>50</v>
      </c>
      <c r="E8">
        <v>14.33</v>
      </c>
      <c r="F8" t="s">
        <v>47</v>
      </c>
      <c r="G8" t="s">
        <v>5</v>
      </c>
      <c r="H8" t="s">
        <v>6</v>
      </c>
      <c r="I8" t="s">
        <v>13</v>
      </c>
      <c r="J8">
        <v>0</v>
      </c>
    </row>
    <row r="9" spans="1:10" x14ac:dyDescent="0.4">
      <c r="A9" t="s">
        <v>61</v>
      </c>
      <c r="B9" t="s">
        <v>62</v>
      </c>
      <c r="C9" t="s">
        <v>45</v>
      </c>
      <c r="D9" t="s">
        <v>50</v>
      </c>
      <c r="E9">
        <v>11.42</v>
      </c>
      <c r="F9" t="s">
        <v>47</v>
      </c>
      <c r="G9" t="s">
        <v>5</v>
      </c>
      <c r="H9" t="s">
        <v>8</v>
      </c>
      <c r="I9" t="s">
        <v>17</v>
      </c>
      <c r="J9">
        <v>0</v>
      </c>
    </row>
    <row r="10" spans="1:10" x14ac:dyDescent="0.4">
      <c r="A10" t="s">
        <v>63</v>
      </c>
      <c r="B10" t="s">
        <v>64</v>
      </c>
      <c r="C10" t="s">
        <v>45</v>
      </c>
      <c r="D10" t="s">
        <v>46</v>
      </c>
      <c r="E10">
        <v>9</v>
      </c>
      <c r="F10" t="s">
        <v>65</v>
      </c>
      <c r="G10" t="s">
        <v>5</v>
      </c>
      <c r="H10" t="s">
        <v>6</v>
      </c>
      <c r="I10" t="s">
        <v>13</v>
      </c>
      <c r="J10">
        <v>0</v>
      </c>
    </row>
    <row r="11" spans="1:10" x14ac:dyDescent="0.4">
      <c r="A11" t="s">
        <v>66</v>
      </c>
      <c r="B11" t="s">
        <v>67</v>
      </c>
      <c r="C11" t="s">
        <v>45</v>
      </c>
      <c r="D11" t="s">
        <v>50</v>
      </c>
      <c r="E11">
        <v>10.33</v>
      </c>
      <c r="F11" t="s">
        <v>47</v>
      </c>
      <c r="G11" t="s">
        <v>9</v>
      </c>
      <c r="H11" t="s">
        <v>9</v>
      </c>
      <c r="I11" t="s">
        <v>18</v>
      </c>
      <c r="J11" t="s">
        <v>18</v>
      </c>
    </row>
    <row r="12" spans="1:10" x14ac:dyDescent="0.4">
      <c r="A12" t="s">
        <v>68</v>
      </c>
      <c r="B12" t="s">
        <v>69</v>
      </c>
      <c r="C12" t="s">
        <v>45</v>
      </c>
      <c r="D12" t="s">
        <v>50</v>
      </c>
      <c r="E12">
        <v>10.83</v>
      </c>
      <c r="F12" t="s">
        <v>47</v>
      </c>
      <c r="G12" t="s">
        <v>9</v>
      </c>
      <c r="H12" t="s">
        <v>9</v>
      </c>
      <c r="I12" t="s">
        <v>18</v>
      </c>
      <c r="J12" t="s">
        <v>18</v>
      </c>
    </row>
    <row r="13" spans="1:10" x14ac:dyDescent="0.4">
      <c r="A13" t="s">
        <v>70</v>
      </c>
      <c r="B13" t="s">
        <v>71</v>
      </c>
      <c r="C13" t="s">
        <v>45</v>
      </c>
      <c r="D13" t="s">
        <v>46</v>
      </c>
      <c r="E13">
        <v>13.92</v>
      </c>
      <c r="F13" t="s">
        <v>47</v>
      </c>
      <c r="G13" t="s">
        <v>5</v>
      </c>
      <c r="H13" t="s">
        <v>8</v>
      </c>
      <c r="I13" t="s">
        <v>15</v>
      </c>
      <c r="J13">
        <v>0</v>
      </c>
    </row>
    <row r="14" spans="1:10" x14ac:dyDescent="0.4">
      <c r="A14" t="s">
        <v>72</v>
      </c>
      <c r="B14" t="s">
        <v>73</v>
      </c>
      <c r="C14" t="s">
        <v>45</v>
      </c>
      <c r="D14" t="s">
        <v>50</v>
      </c>
      <c r="E14">
        <v>9.25</v>
      </c>
      <c r="F14" t="s">
        <v>65</v>
      </c>
      <c r="G14" t="s">
        <v>5</v>
      </c>
      <c r="H14" t="s">
        <v>6</v>
      </c>
      <c r="I14" t="s">
        <v>13</v>
      </c>
      <c r="J14">
        <v>0</v>
      </c>
    </row>
    <row r="15" spans="1:10" x14ac:dyDescent="0.4">
      <c r="A15" t="s">
        <v>74</v>
      </c>
      <c r="B15" t="s">
        <v>75</v>
      </c>
      <c r="C15" t="s">
        <v>45</v>
      </c>
      <c r="D15" t="s">
        <v>46</v>
      </c>
      <c r="E15">
        <v>9</v>
      </c>
      <c r="F15" t="s">
        <v>65</v>
      </c>
      <c r="G15" t="s">
        <v>9</v>
      </c>
      <c r="H15" t="s">
        <v>9</v>
      </c>
      <c r="I15" t="s">
        <v>18</v>
      </c>
      <c r="J15" t="s">
        <v>18</v>
      </c>
    </row>
    <row r="16" spans="1:10" x14ac:dyDescent="0.4">
      <c r="A16" t="s">
        <v>76</v>
      </c>
      <c r="B16" t="s">
        <v>77</v>
      </c>
      <c r="C16" t="s">
        <v>45</v>
      </c>
      <c r="D16" t="s">
        <v>50</v>
      </c>
      <c r="E16">
        <v>13.42</v>
      </c>
      <c r="F16" t="s">
        <v>47</v>
      </c>
      <c r="G16" t="s">
        <v>5</v>
      </c>
      <c r="H16" t="s">
        <v>6</v>
      </c>
      <c r="I16" t="s">
        <v>13</v>
      </c>
      <c r="J16">
        <v>0</v>
      </c>
    </row>
    <row r="17" spans="1:10" x14ac:dyDescent="0.4">
      <c r="A17" t="s">
        <v>78</v>
      </c>
      <c r="B17" t="s">
        <v>79</v>
      </c>
      <c r="C17" t="s">
        <v>45</v>
      </c>
      <c r="D17" t="s">
        <v>50</v>
      </c>
      <c r="E17">
        <v>15.17</v>
      </c>
      <c r="F17" t="s">
        <v>47</v>
      </c>
      <c r="G17" t="s">
        <v>5</v>
      </c>
      <c r="H17" t="s">
        <v>6</v>
      </c>
      <c r="I17" t="s">
        <v>13</v>
      </c>
      <c r="J17">
        <v>0</v>
      </c>
    </row>
    <row r="18" spans="1:10" x14ac:dyDescent="0.4">
      <c r="A18" t="s">
        <v>80</v>
      </c>
      <c r="B18" t="s">
        <v>81</v>
      </c>
      <c r="C18" t="s">
        <v>45</v>
      </c>
      <c r="D18" t="s">
        <v>50</v>
      </c>
      <c r="E18">
        <v>13.25</v>
      </c>
      <c r="F18" t="s">
        <v>47</v>
      </c>
      <c r="G18" t="s">
        <v>5</v>
      </c>
      <c r="H18" t="s">
        <v>6</v>
      </c>
      <c r="I18" t="s">
        <v>13</v>
      </c>
      <c r="J18">
        <v>1</v>
      </c>
    </row>
    <row r="19" spans="1:10" x14ac:dyDescent="0.4">
      <c r="A19" t="s">
        <v>82</v>
      </c>
      <c r="B19" t="s">
        <v>83</v>
      </c>
      <c r="C19" t="s">
        <v>45</v>
      </c>
      <c r="D19" t="s">
        <v>46</v>
      </c>
      <c r="E19">
        <v>16.079999999999998</v>
      </c>
      <c r="F19" t="s">
        <v>47</v>
      </c>
      <c r="G19" t="s">
        <v>5</v>
      </c>
      <c r="H19" t="s">
        <v>6</v>
      </c>
      <c r="I19" t="s">
        <v>13</v>
      </c>
      <c r="J19">
        <v>0</v>
      </c>
    </row>
    <row r="20" spans="1:10" x14ac:dyDescent="0.4">
      <c r="A20" t="s">
        <v>84</v>
      </c>
      <c r="B20" t="s">
        <v>85</v>
      </c>
      <c r="C20" t="s">
        <v>45</v>
      </c>
      <c r="D20" t="s">
        <v>46</v>
      </c>
      <c r="E20">
        <v>15</v>
      </c>
      <c r="F20" t="s">
        <v>47</v>
      </c>
      <c r="G20" t="s">
        <v>9</v>
      </c>
      <c r="H20" t="s">
        <v>9</v>
      </c>
      <c r="I20" t="s">
        <v>18</v>
      </c>
      <c r="J20" t="s">
        <v>18</v>
      </c>
    </row>
    <row r="21" spans="1:10" x14ac:dyDescent="0.4">
      <c r="A21" t="s">
        <v>86</v>
      </c>
      <c r="B21" t="s">
        <v>87</v>
      </c>
      <c r="C21" t="s">
        <v>45</v>
      </c>
      <c r="D21" t="s">
        <v>46</v>
      </c>
      <c r="E21">
        <v>10.75</v>
      </c>
      <c r="F21" t="s">
        <v>47</v>
      </c>
      <c r="G21" t="s">
        <v>88</v>
      </c>
      <c r="H21" t="s">
        <v>88</v>
      </c>
      <c r="I21" t="s">
        <v>18</v>
      </c>
      <c r="J21" t="s">
        <v>18</v>
      </c>
    </row>
    <row r="22" spans="1:10" x14ac:dyDescent="0.4">
      <c r="A22" t="s">
        <v>89</v>
      </c>
      <c r="B22" t="s">
        <v>90</v>
      </c>
      <c r="C22" t="s">
        <v>45</v>
      </c>
      <c r="D22" t="s">
        <v>50</v>
      </c>
      <c r="E22">
        <v>10.33</v>
      </c>
      <c r="F22" t="s">
        <v>47</v>
      </c>
      <c r="G22" t="s">
        <v>5</v>
      </c>
      <c r="H22" t="s">
        <v>6</v>
      </c>
      <c r="I22" t="s">
        <v>13</v>
      </c>
      <c r="J22">
        <v>1</v>
      </c>
    </row>
    <row r="23" spans="1:10" x14ac:dyDescent="0.4">
      <c r="A23" t="s">
        <v>91</v>
      </c>
      <c r="B23" t="s">
        <v>92</v>
      </c>
      <c r="C23" t="s">
        <v>45</v>
      </c>
      <c r="D23" t="s">
        <v>46</v>
      </c>
      <c r="E23">
        <v>10.83</v>
      </c>
      <c r="F23" t="s">
        <v>47</v>
      </c>
      <c r="G23" t="s">
        <v>5</v>
      </c>
      <c r="H23" t="s">
        <v>6</v>
      </c>
      <c r="I23" t="s">
        <v>13</v>
      </c>
      <c r="J23">
        <v>1</v>
      </c>
    </row>
    <row r="24" spans="1:10" x14ac:dyDescent="0.4">
      <c r="A24" t="s">
        <v>93</v>
      </c>
      <c r="B24" t="s">
        <v>94</v>
      </c>
      <c r="C24" t="s">
        <v>45</v>
      </c>
      <c r="D24" t="s">
        <v>46</v>
      </c>
      <c r="E24">
        <v>10.17</v>
      </c>
      <c r="F24" t="s">
        <v>47</v>
      </c>
      <c r="G24" t="s">
        <v>5</v>
      </c>
      <c r="H24" t="s">
        <v>6</v>
      </c>
      <c r="I24" t="s">
        <v>13</v>
      </c>
      <c r="J24">
        <v>1</v>
      </c>
    </row>
    <row r="25" spans="1:10" x14ac:dyDescent="0.4">
      <c r="A25" t="s">
        <v>95</v>
      </c>
      <c r="B25" t="s">
        <v>96</v>
      </c>
      <c r="C25" t="s">
        <v>45</v>
      </c>
      <c r="D25" t="s">
        <v>50</v>
      </c>
      <c r="E25">
        <v>4.5</v>
      </c>
      <c r="F25" t="s">
        <v>65</v>
      </c>
      <c r="G25" t="s">
        <v>5</v>
      </c>
      <c r="H25" t="s">
        <v>6</v>
      </c>
      <c r="I25" t="s">
        <v>13</v>
      </c>
      <c r="J25">
        <v>0</v>
      </c>
    </row>
    <row r="26" spans="1:10" x14ac:dyDescent="0.4">
      <c r="A26" t="s">
        <v>97</v>
      </c>
      <c r="B26" t="s">
        <v>98</v>
      </c>
      <c r="C26" t="s">
        <v>45</v>
      </c>
      <c r="D26" t="s">
        <v>46</v>
      </c>
      <c r="E26">
        <v>6.33</v>
      </c>
      <c r="F26" t="s">
        <v>65</v>
      </c>
      <c r="G26" t="s">
        <v>5</v>
      </c>
      <c r="H26" t="s">
        <v>6</v>
      </c>
      <c r="I26" t="s">
        <v>13</v>
      </c>
      <c r="J26">
        <v>0</v>
      </c>
    </row>
    <row r="27" spans="1:10" x14ac:dyDescent="0.4">
      <c r="A27" t="s">
        <v>99</v>
      </c>
      <c r="B27" t="s">
        <v>100</v>
      </c>
      <c r="C27" t="s">
        <v>45</v>
      </c>
      <c r="D27" t="s">
        <v>50</v>
      </c>
      <c r="E27">
        <v>5.08</v>
      </c>
      <c r="F27" t="s">
        <v>65</v>
      </c>
      <c r="G27" t="s">
        <v>5</v>
      </c>
      <c r="H27" t="s">
        <v>6</v>
      </c>
      <c r="I27" t="s">
        <v>13</v>
      </c>
      <c r="J27">
        <v>0</v>
      </c>
    </row>
    <row r="28" spans="1:10" x14ac:dyDescent="0.4">
      <c r="A28" t="s">
        <v>101</v>
      </c>
      <c r="B28" t="s">
        <v>102</v>
      </c>
      <c r="C28" t="s">
        <v>45</v>
      </c>
      <c r="D28" t="s">
        <v>46</v>
      </c>
      <c r="E28">
        <v>10.33</v>
      </c>
      <c r="F28" t="s">
        <v>47</v>
      </c>
      <c r="G28" t="s">
        <v>5</v>
      </c>
      <c r="H28" t="s">
        <v>6</v>
      </c>
      <c r="I28" t="s">
        <v>13</v>
      </c>
      <c r="J28">
        <v>1</v>
      </c>
    </row>
    <row r="29" spans="1:10" x14ac:dyDescent="0.4">
      <c r="A29" t="s">
        <v>103</v>
      </c>
      <c r="B29" t="s">
        <v>104</v>
      </c>
      <c r="C29" t="s">
        <v>45</v>
      </c>
      <c r="D29" t="s">
        <v>46</v>
      </c>
      <c r="E29">
        <v>16.920000000000002</v>
      </c>
      <c r="F29" t="s">
        <v>47</v>
      </c>
      <c r="G29" t="s">
        <v>9</v>
      </c>
      <c r="H29" t="s">
        <v>9</v>
      </c>
      <c r="I29" t="s">
        <v>18</v>
      </c>
      <c r="J29" t="s">
        <v>18</v>
      </c>
    </row>
    <row r="30" spans="1:10" x14ac:dyDescent="0.4">
      <c r="A30" t="s">
        <v>105</v>
      </c>
      <c r="B30" t="s">
        <v>106</v>
      </c>
      <c r="C30" t="s">
        <v>45</v>
      </c>
      <c r="D30" t="s">
        <v>46</v>
      </c>
      <c r="E30">
        <v>10.83</v>
      </c>
      <c r="F30" t="s">
        <v>47</v>
      </c>
      <c r="G30" t="s">
        <v>5</v>
      </c>
      <c r="H30" t="s">
        <v>6</v>
      </c>
      <c r="I30" t="s">
        <v>13</v>
      </c>
      <c r="J30">
        <v>0</v>
      </c>
    </row>
    <row r="31" spans="1:10" x14ac:dyDescent="0.4">
      <c r="A31" t="s">
        <v>107</v>
      </c>
      <c r="B31" t="s">
        <v>108</v>
      </c>
      <c r="C31" t="s">
        <v>45</v>
      </c>
      <c r="D31" t="s">
        <v>50</v>
      </c>
      <c r="E31">
        <v>10.75</v>
      </c>
      <c r="F31" t="s">
        <v>47</v>
      </c>
      <c r="G31" t="s">
        <v>5</v>
      </c>
      <c r="H31" t="s">
        <v>6</v>
      </c>
      <c r="I31" t="s">
        <v>13</v>
      </c>
      <c r="J31">
        <v>0</v>
      </c>
    </row>
    <row r="32" spans="1:10" x14ac:dyDescent="0.4">
      <c r="A32" t="s">
        <v>109</v>
      </c>
      <c r="B32" t="s">
        <v>110</v>
      </c>
      <c r="C32" t="s">
        <v>45</v>
      </c>
      <c r="D32" t="s">
        <v>46</v>
      </c>
      <c r="E32">
        <v>12.5</v>
      </c>
      <c r="F32" t="s">
        <v>47</v>
      </c>
      <c r="G32" t="s">
        <v>9</v>
      </c>
      <c r="H32" t="s">
        <v>9</v>
      </c>
      <c r="I32" t="s">
        <v>18</v>
      </c>
      <c r="J32" t="s">
        <v>18</v>
      </c>
    </row>
    <row r="33" spans="1:10" x14ac:dyDescent="0.4">
      <c r="A33" t="s">
        <v>111</v>
      </c>
      <c r="B33" t="s">
        <v>112</v>
      </c>
      <c r="C33" t="s">
        <v>45</v>
      </c>
      <c r="D33" t="s">
        <v>46</v>
      </c>
      <c r="E33">
        <v>8.67</v>
      </c>
      <c r="F33" t="s">
        <v>65</v>
      </c>
      <c r="G33" t="s">
        <v>5</v>
      </c>
      <c r="H33" t="s">
        <v>6</v>
      </c>
      <c r="I33" t="s">
        <v>13</v>
      </c>
      <c r="J33">
        <v>0</v>
      </c>
    </row>
    <row r="34" spans="1:10" x14ac:dyDescent="0.4">
      <c r="A34" t="s">
        <v>113</v>
      </c>
      <c r="B34" t="s">
        <v>114</v>
      </c>
      <c r="C34" t="s">
        <v>45</v>
      </c>
      <c r="D34" t="s">
        <v>50</v>
      </c>
      <c r="E34">
        <v>9.33</v>
      </c>
      <c r="F34" t="s">
        <v>65</v>
      </c>
      <c r="G34" t="s">
        <v>9</v>
      </c>
      <c r="H34" t="s">
        <v>9</v>
      </c>
      <c r="I34" t="s">
        <v>18</v>
      </c>
      <c r="J34" t="s">
        <v>18</v>
      </c>
    </row>
    <row r="35" spans="1:10" x14ac:dyDescent="0.4">
      <c r="A35" t="s">
        <v>115</v>
      </c>
      <c r="B35" t="s">
        <v>116</v>
      </c>
      <c r="C35" t="s">
        <v>45</v>
      </c>
      <c r="D35" t="s">
        <v>50</v>
      </c>
      <c r="E35">
        <v>7.75</v>
      </c>
      <c r="F35" t="s">
        <v>65</v>
      </c>
      <c r="G35" t="s">
        <v>9</v>
      </c>
      <c r="H35" t="s">
        <v>9</v>
      </c>
      <c r="I35" t="s">
        <v>18</v>
      </c>
      <c r="J35" t="s">
        <v>18</v>
      </c>
    </row>
    <row r="36" spans="1:10" x14ac:dyDescent="0.4">
      <c r="A36" t="s">
        <v>117</v>
      </c>
      <c r="B36" t="s">
        <v>118</v>
      </c>
      <c r="C36" t="s">
        <v>45</v>
      </c>
      <c r="D36" t="s">
        <v>50</v>
      </c>
      <c r="E36">
        <v>11.5</v>
      </c>
      <c r="F36" t="s">
        <v>47</v>
      </c>
      <c r="G36" t="s">
        <v>9</v>
      </c>
      <c r="H36" t="s">
        <v>9</v>
      </c>
      <c r="I36" t="s">
        <v>18</v>
      </c>
      <c r="J36" t="s">
        <v>18</v>
      </c>
    </row>
    <row r="37" spans="1:10" x14ac:dyDescent="0.4">
      <c r="A37" t="s">
        <v>119</v>
      </c>
      <c r="B37" t="s">
        <v>120</v>
      </c>
      <c r="C37" t="s">
        <v>45</v>
      </c>
      <c r="D37" t="s">
        <v>50</v>
      </c>
      <c r="E37">
        <v>10.5</v>
      </c>
      <c r="F37" t="s">
        <v>47</v>
      </c>
      <c r="G37" t="s">
        <v>9</v>
      </c>
      <c r="H37" t="s">
        <v>9</v>
      </c>
      <c r="I37" t="s">
        <v>18</v>
      </c>
      <c r="J37" t="s">
        <v>18</v>
      </c>
    </row>
    <row r="38" spans="1:10" x14ac:dyDescent="0.4">
      <c r="A38" t="s">
        <v>121</v>
      </c>
      <c r="B38" t="s">
        <v>122</v>
      </c>
      <c r="C38" t="s">
        <v>45</v>
      </c>
      <c r="D38" t="s">
        <v>50</v>
      </c>
      <c r="E38">
        <v>10.5</v>
      </c>
      <c r="F38" t="s">
        <v>47</v>
      </c>
      <c r="G38" t="s">
        <v>5</v>
      </c>
      <c r="H38" t="s">
        <v>6</v>
      </c>
      <c r="I38" t="s">
        <v>13</v>
      </c>
      <c r="J38">
        <v>1</v>
      </c>
    </row>
    <row r="39" spans="1:10" x14ac:dyDescent="0.4">
      <c r="A39" t="s">
        <v>123</v>
      </c>
      <c r="B39" t="s">
        <v>124</v>
      </c>
      <c r="C39" t="s">
        <v>45</v>
      </c>
      <c r="D39" t="s">
        <v>50</v>
      </c>
      <c r="E39">
        <v>8.67</v>
      </c>
      <c r="F39" t="s">
        <v>65</v>
      </c>
      <c r="G39" t="s">
        <v>9</v>
      </c>
      <c r="H39" t="s">
        <v>9</v>
      </c>
      <c r="I39" t="s">
        <v>18</v>
      </c>
      <c r="J39" t="s">
        <v>18</v>
      </c>
    </row>
    <row r="40" spans="1:10" x14ac:dyDescent="0.4">
      <c r="A40" t="s">
        <v>125</v>
      </c>
      <c r="B40" t="s">
        <v>126</v>
      </c>
      <c r="C40" t="s">
        <v>45</v>
      </c>
      <c r="D40" t="s">
        <v>46</v>
      </c>
      <c r="E40">
        <v>15.33</v>
      </c>
      <c r="F40" t="s">
        <v>47</v>
      </c>
      <c r="G40" t="s">
        <v>9</v>
      </c>
      <c r="H40" t="s">
        <v>9</v>
      </c>
      <c r="I40" t="s">
        <v>18</v>
      </c>
      <c r="J40" t="s">
        <v>18</v>
      </c>
    </row>
    <row r="41" spans="1:10" x14ac:dyDescent="0.4">
      <c r="A41" t="s">
        <v>127</v>
      </c>
      <c r="B41" t="s">
        <v>128</v>
      </c>
      <c r="C41" t="s">
        <v>45</v>
      </c>
      <c r="D41" t="s">
        <v>46</v>
      </c>
      <c r="E41">
        <v>9.17</v>
      </c>
      <c r="F41" t="s">
        <v>65</v>
      </c>
      <c r="G41" t="s">
        <v>5</v>
      </c>
      <c r="H41" t="s">
        <v>6</v>
      </c>
      <c r="I41" t="s">
        <v>13</v>
      </c>
      <c r="J41">
        <v>0</v>
      </c>
    </row>
    <row r="42" spans="1:10" x14ac:dyDescent="0.4">
      <c r="A42" t="s">
        <v>129</v>
      </c>
      <c r="B42" t="s">
        <v>130</v>
      </c>
      <c r="C42" t="s">
        <v>45</v>
      </c>
      <c r="D42" t="s">
        <v>50</v>
      </c>
      <c r="E42">
        <v>4.83</v>
      </c>
      <c r="F42" t="s">
        <v>65</v>
      </c>
      <c r="G42" t="s">
        <v>9</v>
      </c>
      <c r="H42" t="s">
        <v>9</v>
      </c>
      <c r="I42" t="s">
        <v>18</v>
      </c>
      <c r="J42" t="s">
        <v>18</v>
      </c>
    </row>
    <row r="43" spans="1:10" x14ac:dyDescent="0.4">
      <c r="A43" t="s">
        <v>131</v>
      </c>
      <c r="B43" t="s">
        <v>132</v>
      </c>
      <c r="C43" t="s">
        <v>45</v>
      </c>
      <c r="D43" t="s">
        <v>50</v>
      </c>
      <c r="E43">
        <v>12</v>
      </c>
      <c r="F43" t="s">
        <v>47</v>
      </c>
      <c r="G43" t="s">
        <v>9</v>
      </c>
      <c r="H43" t="s">
        <v>9</v>
      </c>
      <c r="I43" t="s">
        <v>18</v>
      </c>
      <c r="J43" t="s">
        <v>18</v>
      </c>
    </row>
    <row r="44" spans="1:10" x14ac:dyDescent="0.4">
      <c r="A44" t="s">
        <v>133</v>
      </c>
      <c r="B44" t="s">
        <v>134</v>
      </c>
      <c r="C44" t="s">
        <v>45</v>
      </c>
      <c r="D44" t="s">
        <v>46</v>
      </c>
      <c r="E44">
        <v>12.08</v>
      </c>
      <c r="F44" t="s">
        <v>47</v>
      </c>
      <c r="G44" t="s">
        <v>5</v>
      </c>
      <c r="H44" t="s">
        <v>6</v>
      </c>
      <c r="I44" t="s">
        <v>13</v>
      </c>
      <c r="J44">
        <v>0</v>
      </c>
    </row>
    <row r="45" spans="1:10" x14ac:dyDescent="0.4">
      <c r="A45" t="s">
        <v>135</v>
      </c>
      <c r="B45" t="s">
        <v>136</v>
      </c>
      <c r="C45" t="s">
        <v>45</v>
      </c>
      <c r="D45" t="s">
        <v>50</v>
      </c>
      <c r="E45">
        <v>9.17</v>
      </c>
      <c r="F45" t="s">
        <v>65</v>
      </c>
      <c r="G45" t="s">
        <v>9</v>
      </c>
      <c r="H45" t="s">
        <v>9</v>
      </c>
      <c r="I45" t="s">
        <v>18</v>
      </c>
      <c r="J45" t="s">
        <v>18</v>
      </c>
    </row>
    <row r="46" spans="1:10" x14ac:dyDescent="0.4">
      <c r="A46" t="s">
        <v>137</v>
      </c>
      <c r="B46" t="s">
        <v>138</v>
      </c>
      <c r="C46" t="s">
        <v>45</v>
      </c>
      <c r="D46" t="s">
        <v>50</v>
      </c>
      <c r="E46">
        <v>5.42</v>
      </c>
      <c r="F46" t="s">
        <v>65</v>
      </c>
      <c r="G46" t="s">
        <v>5</v>
      </c>
      <c r="H46" t="s">
        <v>6</v>
      </c>
      <c r="I46" t="s">
        <v>13</v>
      </c>
      <c r="J46">
        <v>0</v>
      </c>
    </row>
    <row r="47" spans="1:10" x14ac:dyDescent="0.4">
      <c r="A47" t="s">
        <v>139</v>
      </c>
      <c r="B47" t="s">
        <v>140</v>
      </c>
      <c r="C47" t="s">
        <v>45</v>
      </c>
      <c r="D47" t="s">
        <v>46</v>
      </c>
      <c r="E47">
        <v>15.17</v>
      </c>
      <c r="F47" t="s">
        <v>47</v>
      </c>
      <c r="G47" t="s">
        <v>5</v>
      </c>
      <c r="H47" t="s">
        <v>6</v>
      </c>
      <c r="I47" t="s">
        <v>13</v>
      </c>
      <c r="J47">
        <v>1</v>
      </c>
    </row>
    <row r="48" spans="1:10" x14ac:dyDescent="0.4">
      <c r="A48" t="s">
        <v>141</v>
      </c>
      <c r="B48" t="s">
        <v>142</v>
      </c>
      <c r="C48" t="s">
        <v>45</v>
      </c>
      <c r="D48" t="s">
        <v>46</v>
      </c>
      <c r="E48">
        <v>15.83</v>
      </c>
      <c r="F48" t="s">
        <v>47</v>
      </c>
      <c r="G48" t="s">
        <v>5</v>
      </c>
      <c r="H48" t="s">
        <v>6</v>
      </c>
      <c r="I48" t="s">
        <v>13</v>
      </c>
      <c r="J48">
        <v>0</v>
      </c>
    </row>
    <row r="49" spans="1:10" x14ac:dyDescent="0.4">
      <c r="A49" t="s">
        <v>143</v>
      </c>
      <c r="B49" t="s">
        <v>144</v>
      </c>
      <c r="C49" t="s">
        <v>45</v>
      </c>
      <c r="D49" t="s">
        <v>50</v>
      </c>
      <c r="E49">
        <v>7.67</v>
      </c>
      <c r="F49" t="s">
        <v>65</v>
      </c>
      <c r="G49" t="s">
        <v>5</v>
      </c>
      <c r="H49" t="s">
        <v>6</v>
      </c>
      <c r="I49" t="s">
        <v>13</v>
      </c>
      <c r="J49">
        <v>1</v>
      </c>
    </row>
    <row r="50" spans="1:10" x14ac:dyDescent="0.4">
      <c r="A50" t="s">
        <v>145</v>
      </c>
      <c r="B50" t="s">
        <v>146</v>
      </c>
      <c r="C50" t="s">
        <v>45</v>
      </c>
      <c r="D50" t="s">
        <v>46</v>
      </c>
      <c r="E50">
        <v>10.08</v>
      </c>
      <c r="F50" t="s">
        <v>47</v>
      </c>
      <c r="G50" t="s">
        <v>5</v>
      </c>
      <c r="H50" t="s">
        <v>6</v>
      </c>
      <c r="I50" t="s">
        <v>13</v>
      </c>
      <c r="J50">
        <v>1</v>
      </c>
    </row>
    <row r="51" spans="1:10" x14ac:dyDescent="0.4">
      <c r="A51" t="s">
        <v>147</v>
      </c>
      <c r="B51" t="s">
        <v>148</v>
      </c>
      <c r="C51" t="s">
        <v>45</v>
      </c>
      <c r="D51" t="s">
        <v>50</v>
      </c>
      <c r="E51">
        <v>13.42</v>
      </c>
      <c r="F51" t="s">
        <v>47</v>
      </c>
      <c r="G51" t="s">
        <v>5</v>
      </c>
      <c r="H51" t="s">
        <v>6</v>
      </c>
      <c r="I51" t="s">
        <v>13</v>
      </c>
      <c r="J51">
        <v>1</v>
      </c>
    </row>
    <row r="52" spans="1:10" x14ac:dyDescent="0.4">
      <c r="A52" t="s">
        <v>149</v>
      </c>
      <c r="B52" t="s">
        <v>150</v>
      </c>
      <c r="C52" t="s">
        <v>45</v>
      </c>
      <c r="D52" t="s">
        <v>50</v>
      </c>
      <c r="E52">
        <v>8.75</v>
      </c>
      <c r="F52" t="s">
        <v>65</v>
      </c>
      <c r="G52" t="s">
        <v>5</v>
      </c>
      <c r="H52" t="s">
        <v>6</v>
      </c>
      <c r="I52" t="s">
        <v>13</v>
      </c>
      <c r="J52">
        <v>1</v>
      </c>
    </row>
    <row r="53" spans="1:10" x14ac:dyDescent="0.4">
      <c r="A53" t="s">
        <v>151</v>
      </c>
      <c r="B53" t="s">
        <v>152</v>
      </c>
      <c r="C53" t="s">
        <v>45</v>
      </c>
      <c r="D53" t="s">
        <v>50</v>
      </c>
      <c r="E53">
        <v>16.079999999999998</v>
      </c>
      <c r="F53" t="s">
        <v>47</v>
      </c>
      <c r="G53" t="s">
        <v>5</v>
      </c>
      <c r="H53" t="s">
        <v>6</v>
      </c>
      <c r="I53" t="s">
        <v>13</v>
      </c>
      <c r="J53">
        <v>0</v>
      </c>
    </row>
    <row r="54" spans="1:10" x14ac:dyDescent="0.4">
      <c r="A54" t="s">
        <v>153</v>
      </c>
      <c r="B54" t="s">
        <v>154</v>
      </c>
      <c r="C54" t="s">
        <v>45</v>
      </c>
      <c r="D54" t="s">
        <v>46</v>
      </c>
      <c r="E54">
        <v>9.17</v>
      </c>
      <c r="F54" t="s">
        <v>65</v>
      </c>
      <c r="G54" t="s">
        <v>5</v>
      </c>
      <c r="H54" t="s">
        <v>8</v>
      </c>
      <c r="I54" t="s">
        <v>15</v>
      </c>
      <c r="J54">
        <v>0</v>
      </c>
    </row>
    <row r="55" spans="1:10" x14ac:dyDescent="0.4">
      <c r="A55" t="s">
        <v>155</v>
      </c>
      <c r="B55" t="s">
        <v>156</v>
      </c>
      <c r="C55" t="s">
        <v>45</v>
      </c>
      <c r="D55" t="s">
        <v>50</v>
      </c>
      <c r="E55">
        <v>2.33</v>
      </c>
      <c r="F55" t="s">
        <v>65</v>
      </c>
      <c r="G55" t="s">
        <v>9</v>
      </c>
      <c r="H55" t="s">
        <v>9</v>
      </c>
      <c r="I55" t="s">
        <v>18</v>
      </c>
      <c r="J55" t="s">
        <v>18</v>
      </c>
    </row>
    <row r="56" spans="1:10" x14ac:dyDescent="0.4">
      <c r="A56" t="s">
        <v>157</v>
      </c>
      <c r="B56" t="s">
        <v>158</v>
      </c>
      <c r="C56" t="s">
        <v>45</v>
      </c>
      <c r="D56" t="s">
        <v>50</v>
      </c>
      <c r="E56">
        <v>11.42</v>
      </c>
      <c r="F56" t="s">
        <v>47</v>
      </c>
      <c r="G56" t="s">
        <v>9</v>
      </c>
      <c r="H56" t="s">
        <v>9</v>
      </c>
      <c r="I56" t="s">
        <v>18</v>
      </c>
      <c r="J56" t="s">
        <v>18</v>
      </c>
    </row>
    <row r="57" spans="1:10" x14ac:dyDescent="0.4">
      <c r="A57" t="s">
        <v>159</v>
      </c>
      <c r="B57" t="s">
        <v>160</v>
      </c>
      <c r="C57" t="s">
        <v>45</v>
      </c>
      <c r="D57" t="s">
        <v>46</v>
      </c>
      <c r="E57">
        <v>13.25</v>
      </c>
      <c r="F57" t="s">
        <v>47</v>
      </c>
      <c r="G57" t="s">
        <v>5</v>
      </c>
      <c r="H57" t="s">
        <v>6</v>
      </c>
      <c r="I57" t="s">
        <v>13</v>
      </c>
      <c r="J57">
        <v>0</v>
      </c>
    </row>
    <row r="58" spans="1:10" x14ac:dyDescent="0.4">
      <c r="A58" t="s">
        <v>161</v>
      </c>
      <c r="B58" t="s">
        <v>162</v>
      </c>
      <c r="C58" t="s">
        <v>45</v>
      </c>
      <c r="D58" t="s">
        <v>50</v>
      </c>
      <c r="E58">
        <v>7.58</v>
      </c>
      <c r="F58" t="s">
        <v>65</v>
      </c>
      <c r="G58" t="s">
        <v>5</v>
      </c>
      <c r="H58" t="s">
        <v>6</v>
      </c>
      <c r="I58" t="s">
        <v>13</v>
      </c>
      <c r="J58">
        <v>0</v>
      </c>
    </row>
    <row r="59" spans="1:10" x14ac:dyDescent="0.4">
      <c r="A59" t="s">
        <v>163</v>
      </c>
      <c r="B59" t="s">
        <v>164</v>
      </c>
      <c r="C59" t="s">
        <v>45</v>
      </c>
      <c r="D59" t="s">
        <v>50</v>
      </c>
      <c r="E59">
        <v>16.170000000000002</v>
      </c>
      <c r="F59" t="s">
        <v>47</v>
      </c>
      <c r="G59" t="s">
        <v>5</v>
      </c>
      <c r="H59" t="s">
        <v>6</v>
      </c>
      <c r="I59" t="s">
        <v>13</v>
      </c>
      <c r="J59">
        <v>0</v>
      </c>
    </row>
    <row r="60" spans="1:10" x14ac:dyDescent="0.4">
      <c r="A60" t="s">
        <v>165</v>
      </c>
      <c r="B60" t="s">
        <v>166</v>
      </c>
      <c r="C60" t="s">
        <v>45</v>
      </c>
      <c r="D60" t="s">
        <v>50</v>
      </c>
      <c r="E60">
        <v>9.42</v>
      </c>
      <c r="F60" t="s">
        <v>65</v>
      </c>
      <c r="G60" t="s">
        <v>5</v>
      </c>
      <c r="H60" t="s">
        <v>6</v>
      </c>
      <c r="I60" t="s">
        <v>13</v>
      </c>
      <c r="J60">
        <v>1</v>
      </c>
    </row>
    <row r="61" spans="1:10" x14ac:dyDescent="0.4">
      <c r="A61" t="s">
        <v>167</v>
      </c>
      <c r="B61" t="s">
        <v>168</v>
      </c>
      <c r="C61" t="s">
        <v>45</v>
      </c>
      <c r="D61" t="s">
        <v>50</v>
      </c>
      <c r="E61">
        <v>13.58</v>
      </c>
      <c r="F61" t="s">
        <v>47</v>
      </c>
      <c r="G61" t="s">
        <v>5</v>
      </c>
      <c r="H61" t="s">
        <v>8</v>
      </c>
      <c r="I61" t="s">
        <v>15</v>
      </c>
      <c r="J61">
        <v>0</v>
      </c>
    </row>
    <row r="62" spans="1:10" x14ac:dyDescent="0.4">
      <c r="A62" t="s">
        <v>169</v>
      </c>
      <c r="B62" t="s">
        <v>170</v>
      </c>
      <c r="C62" t="s">
        <v>45</v>
      </c>
      <c r="D62" t="s">
        <v>50</v>
      </c>
      <c r="E62">
        <v>10.42</v>
      </c>
      <c r="F62" t="s">
        <v>47</v>
      </c>
      <c r="G62" t="s">
        <v>5</v>
      </c>
      <c r="H62" t="s">
        <v>6</v>
      </c>
      <c r="I62" t="s">
        <v>13</v>
      </c>
      <c r="J62">
        <v>0</v>
      </c>
    </row>
    <row r="63" spans="1:10" x14ac:dyDescent="0.4">
      <c r="A63" t="s">
        <v>171</v>
      </c>
      <c r="B63" t="s">
        <v>172</v>
      </c>
      <c r="C63" t="s">
        <v>45</v>
      </c>
      <c r="D63" t="s">
        <v>50</v>
      </c>
      <c r="E63">
        <v>10.67</v>
      </c>
      <c r="F63" t="s">
        <v>47</v>
      </c>
      <c r="G63" t="s">
        <v>5</v>
      </c>
      <c r="H63" t="s">
        <v>6</v>
      </c>
      <c r="I63" t="s">
        <v>13</v>
      </c>
      <c r="J63">
        <v>1</v>
      </c>
    </row>
    <row r="64" spans="1:10" x14ac:dyDescent="0.4">
      <c r="A64" t="s">
        <v>173</v>
      </c>
      <c r="B64" t="s">
        <v>174</v>
      </c>
      <c r="C64" t="s">
        <v>45</v>
      </c>
      <c r="D64" t="s">
        <v>46</v>
      </c>
      <c r="E64">
        <v>8.5</v>
      </c>
      <c r="F64" t="s">
        <v>65</v>
      </c>
      <c r="G64" t="s">
        <v>5</v>
      </c>
      <c r="H64" t="s">
        <v>6</v>
      </c>
      <c r="I64" t="s">
        <v>13</v>
      </c>
      <c r="J64">
        <v>1</v>
      </c>
    </row>
    <row r="65" spans="1:10" x14ac:dyDescent="0.4">
      <c r="A65" t="s">
        <v>175</v>
      </c>
      <c r="B65" t="s">
        <v>176</v>
      </c>
      <c r="C65" t="s">
        <v>45</v>
      </c>
      <c r="D65" t="s">
        <v>50</v>
      </c>
      <c r="E65">
        <v>14.25</v>
      </c>
      <c r="F65" t="s">
        <v>47</v>
      </c>
      <c r="G65" t="s">
        <v>9</v>
      </c>
      <c r="H65" t="s">
        <v>9</v>
      </c>
      <c r="I65" t="s">
        <v>18</v>
      </c>
      <c r="J65" t="s">
        <v>18</v>
      </c>
    </row>
    <row r="66" spans="1:10" x14ac:dyDescent="0.4">
      <c r="A66" t="s">
        <v>177</v>
      </c>
      <c r="B66" t="s">
        <v>178</v>
      </c>
      <c r="C66" t="s">
        <v>45</v>
      </c>
      <c r="D66" t="s">
        <v>46</v>
      </c>
      <c r="E66">
        <v>12.33</v>
      </c>
      <c r="F66" t="s">
        <v>47</v>
      </c>
      <c r="G66" t="s">
        <v>9</v>
      </c>
      <c r="H66" t="s">
        <v>9</v>
      </c>
      <c r="I66" t="s">
        <v>18</v>
      </c>
      <c r="J66" t="s">
        <v>18</v>
      </c>
    </row>
    <row r="67" spans="1:10" x14ac:dyDescent="0.4">
      <c r="A67" t="s">
        <v>179</v>
      </c>
      <c r="B67" t="s">
        <v>180</v>
      </c>
      <c r="C67" t="s">
        <v>45</v>
      </c>
      <c r="D67" t="s">
        <v>50</v>
      </c>
      <c r="E67">
        <v>8.42</v>
      </c>
      <c r="F67" t="s">
        <v>65</v>
      </c>
      <c r="G67" t="s">
        <v>5</v>
      </c>
      <c r="H67" t="s">
        <v>6</v>
      </c>
      <c r="I67" t="s">
        <v>13</v>
      </c>
      <c r="J67">
        <v>0</v>
      </c>
    </row>
    <row r="68" spans="1:10" x14ac:dyDescent="0.4">
      <c r="A68" t="s">
        <v>181</v>
      </c>
      <c r="B68" t="s">
        <v>182</v>
      </c>
      <c r="C68" t="s">
        <v>45</v>
      </c>
      <c r="D68" t="s">
        <v>50</v>
      </c>
      <c r="E68">
        <v>12.92</v>
      </c>
      <c r="F68" t="s">
        <v>47</v>
      </c>
      <c r="G68" t="s">
        <v>9</v>
      </c>
      <c r="H68" t="s">
        <v>9</v>
      </c>
      <c r="I68" t="s">
        <v>18</v>
      </c>
      <c r="J68" t="s">
        <v>18</v>
      </c>
    </row>
    <row r="69" spans="1:10" x14ac:dyDescent="0.4">
      <c r="A69" t="s">
        <v>183</v>
      </c>
      <c r="B69" t="s">
        <v>184</v>
      </c>
      <c r="C69" t="s">
        <v>45</v>
      </c>
      <c r="D69" t="s">
        <v>50</v>
      </c>
      <c r="E69">
        <v>10.33</v>
      </c>
      <c r="F69" t="s">
        <v>47</v>
      </c>
      <c r="G69" t="s">
        <v>5</v>
      </c>
      <c r="H69" t="s">
        <v>6</v>
      </c>
      <c r="I69" t="s">
        <v>13</v>
      </c>
      <c r="J69">
        <v>0</v>
      </c>
    </row>
    <row r="70" spans="1:10" x14ac:dyDescent="0.4">
      <c r="A70" t="s">
        <v>185</v>
      </c>
      <c r="B70" t="s">
        <v>186</v>
      </c>
      <c r="C70" t="s">
        <v>45</v>
      </c>
      <c r="D70" t="s">
        <v>46</v>
      </c>
      <c r="E70">
        <v>12.08</v>
      </c>
      <c r="F70" t="s">
        <v>47</v>
      </c>
      <c r="G70" t="s">
        <v>5</v>
      </c>
      <c r="H70" t="s">
        <v>6</v>
      </c>
      <c r="I70" t="s">
        <v>13</v>
      </c>
      <c r="J70">
        <v>1</v>
      </c>
    </row>
    <row r="71" spans="1:10" x14ac:dyDescent="0.4">
      <c r="A71" t="s">
        <v>187</v>
      </c>
      <c r="B71" t="s">
        <v>188</v>
      </c>
      <c r="C71" t="s">
        <v>45</v>
      </c>
      <c r="D71" t="s">
        <v>46</v>
      </c>
      <c r="E71">
        <v>8.58</v>
      </c>
      <c r="F71" t="s">
        <v>65</v>
      </c>
      <c r="G71" t="s">
        <v>5</v>
      </c>
      <c r="H71" t="s">
        <v>6</v>
      </c>
      <c r="I71" t="s">
        <v>13</v>
      </c>
      <c r="J71">
        <v>1</v>
      </c>
    </row>
    <row r="72" spans="1:10" x14ac:dyDescent="0.4">
      <c r="A72" t="s">
        <v>189</v>
      </c>
      <c r="B72" t="s">
        <v>190</v>
      </c>
      <c r="C72" t="s">
        <v>45</v>
      </c>
      <c r="D72" t="s">
        <v>50</v>
      </c>
      <c r="E72">
        <v>10.67</v>
      </c>
      <c r="F72" t="s">
        <v>47</v>
      </c>
      <c r="G72" t="s">
        <v>5</v>
      </c>
      <c r="H72" t="s">
        <v>8</v>
      </c>
      <c r="I72" t="s">
        <v>17</v>
      </c>
      <c r="J72">
        <v>0</v>
      </c>
    </row>
    <row r="73" spans="1:10" x14ac:dyDescent="0.4">
      <c r="A73" t="s">
        <v>191</v>
      </c>
      <c r="B73" t="s">
        <v>192</v>
      </c>
      <c r="C73" t="s">
        <v>45</v>
      </c>
      <c r="D73" t="s">
        <v>46</v>
      </c>
      <c r="E73">
        <v>13.08</v>
      </c>
      <c r="F73" t="s">
        <v>47</v>
      </c>
      <c r="G73" t="s">
        <v>9</v>
      </c>
      <c r="H73" t="s">
        <v>9</v>
      </c>
      <c r="I73" t="s">
        <v>18</v>
      </c>
      <c r="J73" t="s">
        <v>18</v>
      </c>
    </row>
    <row r="74" spans="1:10" x14ac:dyDescent="0.4">
      <c r="A74" t="s">
        <v>193</v>
      </c>
      <c r="B74" t="s">
        <v>194</v>
      </c>
      <c r="C74" t="s">
        <v>45</v>
      </c>
      <c r="D74" t="s">
        <v>46</v>
      </c>
      <c r="E74">
        <v>8.58</v>
      </c>
      <c r="F74" t="s">
        <v>65</v>
      </c>
      <c r="G74" t="s">
        <v>5</v>
      </c>
      <c r="H74" t="s">
        <v>6</v>
      </c>
      <c r="I74" t="s">
        <v>13</v>
      </c>
      <c r="J74">
        <v>0</v>
      </c>
    </row>
    <row r="75" spans="1:10" x14ac:dyDescent="0.4">
      <c r="A75" t="s">
        <v>195</v>
      </c>
      <c r="B75" t="s">
        <v>196</v>
      </c>
      <c r="C75" t="s">
        <v>45</v>
      </c>
      <c r="D75" t="s">
        <v>46</v>
      </c>
      <c r="E75">
        <v>5.42</v>
      </c>
      <c r="F75" t="s">
        <v>65</v>
      </c>
      <c r="G75" t="s">
        <v>5</v>
      </c>
      <c r="H75" t="s">
        <v>6</v>
      </c>
      <c r="I75" t="s">
        <v>13</v>
      </c>
      <c r="J75">
        <v>0</v>
      </c>
    </row>
    <row r="76" spans="1:10" x14ac:dyDescent="0.4">
      <c r="A76" t="s">
        <v>197</v>
      </c>
      <c r="B76" t="s">
        <v>198</v>
      </c>
      <c r="C76" t="s">
        <v>45</v>
      </c>
      <c r="D76" t="s">
        <v>50</v>
      </c>
      <c r="E76">
        <v>16.5</v>
      </c>
      <c r="F76" t="s">
        <v>47</v>
      </c>
      <c r="G76" t="s">
        <v>5</v>
      </c>
      <c r="H76" t="s">
        <v>6</v>
      </c>
      <c r="I76" t="s">
        <v>13</v>
      </c>
      <c r="J76">
        <v>1</v>
      </c>
    </row>
    <row r="77" spans="1:10" x14ac:dyDescent="0.4">
      <c r="A77" t="s">
        <v>199</v>
      </c>
      <c r="B77" t="s">
        <v>200</v>
      </c>
      <c r="C77" t="s">
        <v>45</v>
      </c>
      <c r="D77" t="s">
        <v>46</v>
      </c>
      <c r="E77">
        <v>11</v>
      </c>
      <c r="F77" t="s">
        <v>47</v>
      </c>
      <c r="G77" t="s">
        <v>9</v>
      </c>
      <c r="H77" t="s">
        <v>9</v>
      </c>
      <c r="I77" t="s">
        <v>18</v>
      </c>
      <c r="J77" t="s">
        <v>18</v>
      </c>
    </row>
    <row r="78" spans="1:10" x14ac:dyDescent="0.4">
      <c r="A78" t="s">
        <v>201</v>
      </c>
      <c r="B78" t="s">
        <v>202</v>
      </c>
      <c r="C78" t="s">
        <v>45</v>
      </c>
      <c r="D78" t="s">
        <v>50</v>
      </c>
      <c r="E78">
        <v>7.25</v>
      </c>
      <c r="F78" t="s">
        <v>65</v>
      </c>
      <c r="G78" t="s">
        <v>9</v>
      </c>
      <c r="H78" t="s">
        <v>9</v>
      </c>
      <c r="I78" t="s">
        <v>18</v>
      </c>
      <c r="J78" t="s">
        <v>18</v>
      </c>
    </row>
    <row r="79" spans="1:10" x14ac:dyDescent="0.4">
      <c r="A79" t="s">
        <v>203</v>
      </c>
      <c r="B79" t="s">
        <v>204</v>
      </c>
      <c r="C79" t="s">
        <v>45</v>
      </c>
      <c r="D79" t="s">
        <v>50</v>
      </c>
      <c r="E79">
        <v>12.83</v>
      </c>
      <c r="F79" t="s">
        <v>47</v>
      </c>
      <c r="G79" t="s">
        <v>9</v>
      </c>
      <c r="H79" t="s">
        <v>9</v>
      </c>
      <c r="I79" t="s">
        <v>18</v>
      </c>
      <c r="J79" t="s">
        <v>18</v>
      </c>
    </row>
    <row r="80" spans="1:10" x14ac:dyDescent="0.4">
      <c r="A80" t="s">
        <v>205</v>
      </c>
      <c r="B80" t="s">
        <v>206</v>
      </c>
      <c r="C80" t="s">
        <v>45</v>
      </c>
      <c r="D80" t="s">
        <v>50</v>
      </c>
      <c r="E80">
        <v>8.5</v>
      </c>
      <c r="F80" t="s">
        <v>65</v>
      </c>
      <c r="G80" t="s">
        <v>9</v>
      </c>
      <c r="H80" t="s">
        <v>9</v>
      </c>
      <c r="I80" t="s">
        <v>18</v>
      </c>
      <c r="J80" t="s">
        <v>18</v>
      </c>
    </row>
    <row r="81" spans="1:10" x14ac:dyDescent="0.4">
      <c r="A81" t="s">
        <v>207</v>
      </c>
      <c r="B81" t="s">
        <v>208</v>
      </c>
      <c r="C81" t="s">
        <v>45</v>
      </c>
      <c r="D81" t="s">
        <v>50</v>
      </c>
      <c r="E81">
        <v>14.17</v>
      </c>
      <c r="F81" t="s">
        <v>47</v>
      </c>
      <c r="G81" t="s">
        <v>9</v>
      </c>
      <c r="H81" t="s">
        <v>9</v>
      </c>
      <c r="I81" t="s">
        <v>18</v>
      </c>
      <c r="J81" t="s">
        <v>18</v>
      </c>
    </row>
    <row r="82" spans="1:10" x14ac:dyDescent="0.4">
      <c r="A82" t="s">
        <v>209</v>
      </c>
      <c r="B82" t="s">
        <v>210</v>
      </c>
      <c r="C82" t="s">
        <v>45</v>
      </c>
      <c r="D82" t="s">
        <v>50</v>
      </c>
      <c r="E82">
        <v>15.83</v>
      </c>
      <c r="F82" t="s">
        <v>47</v>
      </c>
      <c r="G82" t="s">
        <v>9</v>
      </c>
      <c r="H82" t="s">
        <v>9</v>
      </c>
      <c r="I82" t="s">
        <v>18</v>
      </c>
      <c r="J82" t="s">
        <v>18</v>
      </c>
    </row>
    <row r="83" spans="1:10" x14ac:dyDescent="0.4">
      <c r="A83" t="s">
        <v>211</v>
      </c>
      <c r="B83" t="s">
        <v>212</v>
      </c>
      <c r="C83" t="s">
        <v>45</v>
      </c>
      <c r="D83" t="s">
        <v>50</v>
      </c>
      <c r="E83">
        <v>15.58</v>
      </c>
      <c r="F83" t="s">
        <v>47</v>
      </c>
      <c r="G83" t="s">
        <v>9</v>
      </c>
      <c r="H83" t="s">
        <v>9</v>
      </c>
      <c r="I83" t="s">
        <v>18</v>
      </c>
      <c r="J83" t="s">
        <v>18</v>
      </c>
    </row>
    <row r="84" spans="1:10" x14ac:dyDescent="0.4">
      <c r="A84" t="s">
        <v>213</v>
      </c>
      <c r="B84" t="s">
        <v>214</v>
      </c>
      <c r="C84" t="s">
        <v>45</v>
      </c>
      <c r="D84" t="s">
        <v>50</v>
      </c>
      <c r="E84">
        <v>11.42</v>
      </c>
      <c r="F84" t="s">
        <v>47</v>
      </c>
      <c r="G84" t="s">
        <v>9</v>
      </c>
      <c r="H84" t="s">
        <v>9</v>
      </c>
      <c r="I84" t="s">
        <v>18</v>
      </c>
      <c r="J84" t="s">
        <v>18</v>
      </c>
    </row>
    <row r="85" spans="1:10" x14ac:dyDescent="0.4">
      <c r="A85" t="s">
        <v>215</v>
      </c>
      <c r="B85" t="s">
        <v>216</v>
      </c>
      <c r="C85" t="s">
        <v>45</v>
      </c>
      <c r="D85" t="s">
        <v>50</v>
      </c>
      <c r="E85">
        <v>10.25</v>
      </c>
      <c r="F85" t="s">
        <v>47</v>
      </c>
      <c r="G85" t="s">
        <v>9</v>
      </c>
      <c r="H85" t="s">
        <v>9</v>
      </c>
      <c r="I85" t="s">
        <v>18</v>
      </c>
      <c r="J85" t="s">
        <v>18</v>
      </c>
    </row>
    <row r="86" spans="1:10" x14ac:dyDescent="0.4">
      <c r="A86" t="s">
        <v>217</v>
      </c>
      <c r="B86" t="s">
        <v>218</v>
      </c>
      <c r="C86" t="s">
        <v>45</v>
      </c>
      <c r="D86" t="s">
        <v>46</v>
      </c>
      <c r="E86">
        <v>6.58</v>
      </c>
      <c r="F86" t="s">
        <v>65</v>
      </c>
      <c r="G86" t="s">
        <v>9</v>
      </c>
      <c r="H86" t="s">
        <v>9</v>
      </c>
      <c r="I86" t="s">
        <v>18</v>
      </c>
      <c r="J86" t="s">
        <v>18</v>
      </c>
    </row>
    <row r="87" spans="1:10" x14ac:dyDescent="0.4">
      <c r="A87" t="s">
        <v>219</v>
      </c>
      <c r="B87" t="s">
        <v>220</v>
      </c>
      <c r="C87" t="s">
        <v>45</v>
      </c>
      <c r="D87" t="s">
        <v>46</v>
      </c>
      <c r="E87">
        <v>14.75</v>
      </c>
      <c r="F87" t="s">
        <v>47</v>
      </c>
      <c r="G87" t="s">
        <v>9</v>
      </c>
      <c r="H87" t="s">
        <v>9</v>
      </c>
      <c r="I87" t="s">
        <v>18</v>
      </c>
      <c r="J87" t="s">
        <v>18</v>
      </c>
    </row>
    <row r="88" spans="1:10" x14ac:dyDescent="0.4">
      <c r="A88" t="s">
        <v>221</v>
      </c>
      <c r="B88" t="s">
        <v>222</v>
      </c>
      <c r="C88" t="s">
        <v>45</v>
      </c>
      <c r="D88" t="s">
        <v>46</v>
      </c>
      <c r="E88">
        <v>11.58</v>
      </c>
      <c r="F88" t="s">
        <v>47</v>
      </c>
      <c r="G88" t="s">
        <v>9</v>
      </c>
      <c r="H88" t="s">
        <v>9</v>
      </c>
      <c r="I88" t="s">
        <v>18</v>
      </c>
      <c r="J88" t="s">
        <v>18</v>
      </c>
    </row>
    <row r="89" spans="1:10" x14ac:dyDescent="0.4">
      <c r="A89" t="s">
        <v>223</v>
      </c>
      <c r="B89" t="s">
        <v>224</v>
      </c>
      <c r="C89" t="s">
        <v>45</v>
      </c>
      <c r="D89" t="s">
        <v>46</v>
      </c>
      <c r="E89">
        <v>10.33</v>
      </c>
      <c r="F89" t="s">
        <v>47</v>
      </c>
      <c r="G89" t="s">
        <v>9</v>
      </c>
      <c r="H89" t="s">
        <v>9</v>
      </c>
      <c r="I89" t="s">
        <v>18</v>
      </c>
      <c r="J89" t="s">
        <v>18</v>
      </c>
    </row>
    <row r="90" spans="1:10" x14ac:dyDescent="0.4">
      <c r="A90" t="s">
        <v>225</v>
      </c>
      <c r="B90" t="s">
        <v>226</v>
      </c>
      <c r="C90" t="s">
        <v>45</v>
      </c>
      <c r="D90" t="s">
        <v>50</v>
      </c>
      <c r="E90">
        <v>15.75</v>
      </c>
      <c r="F90" t="s">
        <v>47</v>
      </c>
      <c r="G90" t="s">
        <v>9</v>
      </c>
      <c r="H90" t="s">
        <v>9</v>
      </c>
      <c r="I90" t="s">
        <v>18</v>
      </c>
      <c r="J90" t="s">
        <v>18</v>
      </c>
    </row>
    <row r="91" spans="1:10" x14ac:dyDescent="0.4">
      <c r="A91" t="s">
        <v>227</v>
      </c>
      <c r="B91" t="s">
        <v>228</v>
      </c>
      <c r="C91" t="s">
        <v>45</v>
      </c>
      <c r="D91" t="s">
        <v>46</v>
      </c>
      <c r="E91">
        <v>9.92</v>
      </c>
      <c r="F91" t="s">
        <v>65</v>
      </c>
      <c r="G91" t="s">
        <v>9</v>
      </c>
      <c r="H91" t="s">
        <v>9</v>
      </c>
      <c r="I91" t="s">
        <v>18</v>
      </c>
      <c r="J91" t="s">
        <v>18</v>
      </c>
    </row>
    <row r="92" spans="1:10" x14ac:dyDescent="0.4">
      <c r="A92" t="s">
        <v>229</v>
      </c>
      <c r="B92" t="s">
        <v>230</v>
      </c>
      <c r="C92" t="s">
        <v>45</v>
      </c>
      <c r="D92" t="s">
        <v>50</v>
      </c>
      <c r="E92">
        <v>14.75</v>
      </c>
      <c r="F92" t="s">
        <v>47</v>
      </c>
      <c r="G92" t="s">
        <v>5</v>
      </c>
      <c r="H92" t="s">
        <v>8</v>
      </c>
      <c r="I92" t="s">
        <v>15</v>
      </c>
      <c r="J92">
        <v>0</v>
      </c>
    </row>
    <row r="93" spans="1:10" x14ac:dyDescent="0.4">
      <c r="A93" t="s">
        <v>231</v>
      </c>
      <c r="B93" t="s">
        <v>232</v>
      </c>
      <c r="C93" t="s">
        <v>45</v>
      </c>
      <c r="D93" t="s">
        <v>50</v>
      </c>
      <c r="E93">
        <v>9.83</v>
      </c>
      <c r="F93" t="s">
        <v>65</v>
      </c>
      <c r="G93" t="s">
        <v>7</v>
      </c>
      <c r="H93" t="s">
        <v>7</v>
      </c>
      <c r="I93" t="s">
        <v>18</v>
      </c>
      <c r="J93" t="s">
        <v>18</v>
      </c>
    </row>
    <row r="94" spans="1:10" x14ac:dyDescent="0.4">
      <c r="A94" t="s">
        <v>233</v>
      </c>
      <c r="B94" t="s">
        <v>234</v>
      </c>
      <c r="C94" t="s">
        <v>45</v>
      </c>
      <c r="D94" t="s">
        <v>50</v>
      </c>
      <c r="E94">
        <v>5.75</v>
      </c>
      <c r="F94" t="s">
        <v>65</v>
      </c>
      <c r="G94" t="s">
        <v>5</v>
      </c>
      <c r="H94" t="s">
        <v>6</v>
      </c>
      <c r="I94" t="s">
        <v>13</v>
      </c>
      <c r="J94">
        <v>1</v>
      </c>
    </row>
    <row r="95" spans="1:10" x14ac:dyDescent="0.4">
      <c r="A95" t="s">
        <v>235</v>
      </c>
      <c r="B95" t="s">
        <v>236</v>
      </c>
      <c r="C95" t="s">
        <v>45</v>
      </c>
      <c r="D95" t="s">
        <v>46</v>
      </c>
      <c r="E95">
        <v>9.75</v>
      </c>
      <c r="F95" t="s">
        <v>65</v>
      </c>
      <c r="G95" t="s">
        <v>5</v>
      </c>
      <c r="H95" t="s">
        <v>8</v>
      </c>
      <c r="I95" t="s">
        <v>17</v>
      </c>
      <c r="J95">
        <v>0</v>
      </c>
    </row>
    <row r="96" spans="1:10" x14ac:dyDescent="0.4">
      <c r="A96" t="s">
        <v>237</v>
      </c>
      <c r="B96" t="s">
        <v>238</v>
      </c>
      <c r="C96" t="s">
        <v>45</v>
      </c>
      <c r="D96" t="s">
        <v>50</v>
      </c>
      <c r="E96">
        <v>14.75</v>
      </c>
      <c r="F96" t="s">
        <v>47</v>
      </c>
      <c r="G96" t="s">
        <v>5</v>
      </c>
      <c r="H96" t="s">
        <v>6</v>
      </c>
      <c r="I96" t="s">
        <v>13</v>
      </c>
      <c r="J96">
        <v>1</v>
      </c>
    </row>
    <row r="97" spans="1:10" x14ac:dyDescent="0.4">
      <c r="A97" t="s">
        <v>239</v>
      </c>
      <c r="B97" t="s">
        <v>240</v>
      </c>
      <c r="C97" t="s">
        <v>45</v>
      </c>
      <c r="D97" t="s">
        <v>46</v>
      </c>
      <c r="E97">
        <v>13.08</v>
      </c>
      <c r="F97" t="s">
        <v>47</v>
      </c>
      <c r="G97" t="s">
        <v>5</v>
      </c>
      <c r="H97" t="s">
        <v>6</v>
      </c>
      <c r="I97" t="s">
        <v>13</v>
      </c>
      <c r="J97">
        <v>1</v>
      </c>
    </row>
    <row r="98" spans="1:10" x14ac:dyDescent="0.4">
      <c r="A98" t="s">
        <v>241</v>
      </c>
      <c r="B98" t="s">
        <v>242</v>
      </c>
      <c r="C98" t="s">
        <v>45</v>
      </c>
      <c r="D98" t="s">
        <v>46</v>
      </c>
      <c r="E98">
        <v>14.17</v>
      </c>
      <c r="F98" t="s">
        <v>47</v>
      </c>
      <c r="G98" t="s">
        <v>5</v>
      </c>
      <c r="H98" t="s">
        <v>8</v>
      </c>
      <c r="I98" t="s">
        <v>15</v>
      </c>
      <c r="J98">
        <v>0</v>
      </c>
    </row>
    <row r="99" spans="1:10" x14ac:dyDescent="0.4">
      <c r="A99" t="s">
        <v>243</v>
      </c>
      <c r="B99" t="s">
        <v>244</v>
      </c>
      <c r="C99" t="s">
        <v>45</v>
      </c>
      <c r="D99" t="s">
        <v>50</v>
      </c>
      <c r="E99">
        <v>14.83</v>
      </c>
      <c r="F99" t="s">
        <v>47</v>
      </c>
      <c r="G99" t="s">
        <v>5</v>
      </c>
      <c r="H99" t="s">
        <v>6</v>
      </c>
      <c r="I99" t="s">
        <v>13</v>
      </c>
      <c r="J99">
        <v>1</v>
      </c>
    </row>
    <row r="100" spans="1:10" x14ac:dyDescent="0.4">
      <c r="A100" t="s">
        <v>245</v>
      </c>
      <c r="B100" t="s">
        <v>246</v>
      </c>
      <c r="C100" t="s">
        <v>45</v>
      </c>
      <c r="D100" t="s">
        <v>46</v>
      </c>
      <c r="E100">
        <v>15.5</v>
      </c>
      <c r="F100" t="s">
        <v>47</v>
      </c>
      <c r="G100" t="s">
        <v>5</v>
      </c>
      <c r="H100" t="s">
        <v>6</v>
      </c>
      <c r="I100" t="s">
        <v>13</v>
      </c>
      <c r="J100">
        <v>1</v>
      </c>
    </row>
    <row r="101" spans="1:10" x14ac:dyDescent="0.4">
      <c r="A101" t="s">
        <v>247</v>
      </c>
      <c r="B101" t="s">
        <v>248</v>
      </c>
      <c r="C101" t="s">
        <v>45</v>
      </c>
      <c r="D101" t="s">
        <v>46</v>
      </c>
      <c r="E101">
        <v>12.83</v>
      </c>
      <c r="F101" t="s">
        <v>47</v>
      </c>
      <c r="G101" t="s">
        <v>5</v>
      </c>
      <c r="H101" t="s">
        <v>8</v>
      </c>
      <c r="I101" t="s">
        <v>17</v>
      </c>
      <c r="J101">
        <v>0</v>
      </c>
    </row>
    <row r="102" spans="1:10" x14ac:dyDescent="0.4">
      <c r="A102" t="s">
        <v>249</v>
      </c>
      <c r="B102" t="s">
        <v>250</v>
      </c>
      <c r="C102" t="s">
        <v>45</v>
      </c>
      <c r="D102" t="s">
        <v>46</v>
      </c>
      <c r="E102">
        <v>2.25</v>
      </c>
      <c r="F102" t="s">
        <v>65</v>
      </c>
      <c r="G102" t="s">
        <v>5</v>
      </c>
      <c r="H102" t="s">
        <v>8</v>
      </c>
      <c r="I102" t="s">
        <v>15</v>
      </c>
      <c r="J102">
        <v>0</v>
      </c>
    </row>
    <row r="103" spans="1:10" x14ac:dyDescent="0.4">
      <c r="A103" t="s">
        <v>251</v>
      </c>
      <c r="B103" t="s">
        <v>252</v>
      </c>
      <c r="C103" t="s">
        <v>45</v>
      </c>
      <c r="D103" t="s">
        <v>46</v>
      </c>
      <c r="E103">
        <v>11.58</v>
      </c>
      <c r="F103" t="s">
        <v>47</v>
      </c>
      <c r="G103" t="s">
        <v>5</v>
      </c>
      <c r="H103" t="s">
        <v>8</v>
      </c>
      <c r="I103" t="s">
        <v>19</v>
      </c>
      <c r="J103">
        <v>0</v>
      </c>
    </row>
    <row r="104" spans="1:10" x14ac:dyDescent="0.4">
      <c r="A104" t="s">
        <v>253</v>
      </c>
      <c r="B104" t="s">
        <v>254</v>
      </c>
      <c r="C104" t="s">
        <v>45</v>
      </c>
      <c r="D104" t="s">
        <v>50</v>
      </c>
      <c r="E104">
        <v>14.83</v>
      </c>
      <c r="F104" t="s">
        <v>47</v>
      </c>
      <c r="G104" t="s">
        <v>5</v>
      </c>
      <c r="H104" t="s">
        <v>8</v>
      </c>
      <c r="I104" t="s">
        <v>15</v>
      </c>
      <c r="J104">
        <v>0</v>
      </c>
    </row>
    <row r="105" spans="1:10" x14ac:dyDescent="0.4">
      <c r="A105" t="s">
        <v>255</v>
      </c>
      <c r="B105" t="s">
        <v>256</v>
      </c>
      <c r="C105" t="s">
        <v>45</v>
      </c>
      <c r="D105" t="s">
        <v>50</v>
      </c>
      <c r="E105">
        <v>14.08</v>
      </c>
      <c r="F105" t="s">
        <v>47</v>
      </c>
      <c r="G105" t="s">
        <v>5</v>
      </c>
      <c r="H105" t="s">
        <v>8</v>
      </c>
      <c r="I105" t="s">
        <v>19</v>
      </c>
      <c r="J105">
        <v>0</v>
      </c>
    </row>
    <row r="106" spans="1:10" x14ac:dyDescent="0.4">
      <c r="A106" t="s">
        <v>257</v>
      </c>
      <c r="B106" t="s">
        <v>258</v>
      </c>
      <c r="C106" t="s">
        <v>45</v>
      </c>
      <c r="D106" t="s">
        <v>50</v>
      </c>
      <c r="E106">
        <v>15.92</v>
      </c>
      <c r="F106" t="s">
        <v>47</v>
      </c>
      <c r="G106" t="s">
        <v>5</v>
      </c>
      <c r="H106" t="s">
        <v>6</v>
      </c>
      <c r="I106" t="s">
        <v>13</v>
      </c>
      <c r="J106">
        <v>0</v>
      </c>
    </row>
    <row r="107" spans="1:10" x14ac:dyDescent="0.4">
      <c r="A107" t="s">
        <v>259</v>
      </c>
      <c r="B107" t="s">
        <v>260</v>
      </c>
      <c r="C107" t="s">
        <v>45</v>
      </c>
      <c r="D107" t="s">
        <v>46</v>
      </c>
      <c r="E107">
        <v>13.17</v>
      </c>
      <c r="F107" t="s">
        <v>47</v>
      </c>
      <c r="G107" t="s">
        <v>5</v>
      </c>
      <c r="H107" t="s">
        <v>6</v>
      </c>
      <c r="I107" t="s">
        <v>13</v>
      </c>
      <c r="J107">
        <v>1</v>
      </c>
    </row>
    <row r="108" spans="1:10" x14ac:dyDescent="0.4">
      <c r="A108" t="s">
        <v>261</v>
      </c>
      <c r="B108" t="s">
        <v>262</v>
      </c>
      <c r="C108" t="s">
        <v>45</v>
      </c>
      <c r="D108" t="s">
        <v>50</v>
      </c>
      <c r="E108">
        <v>15.75</v>
      </c>
      <c r="F108" t="s">
        <v>47</v>
      </c>
      <c r="G108" t="s">
        <v>5</v>
      </c>
      <c r="H108" t="s">
        <v>6</v>
      </c>
      <c r="I108" t="s">
        <v>13</v>
      </c>
      <c r="J108">
        <v>0</v>
      </c>
    </row>
    <row r="109" spans="1:10" x14ac:dyDescent="0.4">
      <c r="A109" t="s">
        <v>263</v>
      </c>
      <c r="B109" t="s">
        <v>264</v>
      </c>
      <c r="C109" t="s">
        <v>45</v>
      </c>
      <c r="D109" t="s">
        <v>50</v>
      </c>
      <c r="E109">
        <v>15</v>
      </c>
      <c r="F109" t="s">
        <v>47</v>
      </c>
      <c r="G109" t="s">
        <v>5</v>
      </c>
      <c r="H109" t="s">
        <v>6</v>
      </c>
      <c r="I109" t="s">
        <v>13</v>
      </c>
      <c r="J109">
        <v>0</v>
      </c>
    </row>
    <row r="110" spans="1:10" x14ac:dyDescent="0.4">
      <c r="A110" t="s">
        <v>265</v>
      </c>
      <c r="B110" t="s">
        <v>266</v>
      </c>
      <c r="C110" t="s">
        <v>45</v>
      </c>
      <c r="D110" t="s">
        <v>50</v>
      </c>
      <c r="E110">
        <v>13.58</v>
      </c>
      <c r="F110" t="s">
        <v>47</v>
      </c>
      <c r="G110" t="s">
        <v>5</v>
      </c>
      <c r="H110" t="s">
        <v>6</v>
      </c>
      <c r="I110" t="s">
        <v>13</v>
      </c>
      <c r="J110">
        <v>1</v>
      </c>
    </row>
    <row r="111" spans="1:10" x14ac:dyDescent="0.4">
      <c r="A111" t="s">
        <v>267</v>
      </c>
      <c r="B111" t="s">
        <v>268</v>
      </c>
      <c r="C111" t="s">
        <v>45</v>
      </c>
      <c r="D111" t="s">
        <v>50</v>
      </c>
      <c r="E111">
        <v>11.33</v>
      </c>
      <c r="F111" t="s">
        <v>47</v>
      </c>
      <c r="G111" t="s">
        <v>5</v>
      </c>
      <c r="H111" t="s">
        <v>6</v>
      </c>
      <c r="I111" t="s">
        <v>13</v>
      </c>
      <c r="J111">
        <v>0</v>
      </c>
    </row>
    <row r="112" spans="1:10" x14ac:dyDescent="0.4">
      <c r="A112" t="s">
        <v>269</v>
      </c>
      <c r="B112" t="s">
        <v>270</v>
      </c>
      <c r="C112" t="s">
        <v>45</v>
      </c>
      <c r="D112" t="s">
        <v>50</v>
      </c>
      <c r="E112">
        <v>14.5</v>
      </c>
      <c r="F112" t="s">
        <v>47</v>
      </c>
      <c r="G112" t="s">
        <v>5</v>
      </c>
      <c r="H112" t="s">
        <v>6</v>
      </c>
      <c r="I112" t="s">
        <v>13</v>
      </c>
      <c r="J112">
        <v>0</v>
      </c>
    </row>
    <row r="113" spans="1:10" x14ac:dyDescent="0.4">
      <c r="A113" t="s">
        <v>271</v>
      </c>
      <c r="B113" t="s">
        <v>272</v>
      </c>
      <c r="C113" t="s">
        <v>45</v>
      </c>
      <c r="D113" t="s">
        <v>46</v>
      </c>
      <c r="E113">
        <v>14.33</v>
      </c>
      <c r="F113" t="s">
        <v>47</v>
      </c>
      <c r="G113" t="s">
        <v>5</v>
      </c>
      <c r="H113" t="s">
        <v>6</v>
      </c>
      <c r="I113" t="s">
        <v>13</v>
      </c>
      <c r="J113">
        <v>0</v>
      </c>
    </row>
    <row r="114" spans="1:10" x14ac:dyDescent="0.4">
      <c r="A114" t="s">
        <v>273</v>
      </c>
      <c r="B114" t="s">
        <v>274</v>
      </c>
      <c r="C114" t="s">
        <v>45</v>
      </c>
      <c r="D114" t="s">
        <v>46</v>
      </c>
      <c r="E114">
        <v>13.42</v>
      </c>
      <c r="F114" t="s">
        <v>47</v>
      </c>
      <c r="G114" t="s">
        <v>5</v>
      </c>
      <c r="H114" t="s">
        <v>6</v>
      </c>
      <c r="I114" t="s">
        <v>13</v>
      </c>
      <c r="J114">
        <v>0</v>
      </c>
    </row>
    <row r="115" spans="1:10" x14ac:dyDescent="0.4">
      <c r="A115" t="s">
        <v>275</v>
      </c>
      <c r="B115" t="s">
        <v>276</v>
      </c>
      <c r="C115" t="s">
        <v>45</v>
      </c>
      <c r="D115" t="s">
        <v>50</v>
      </c>
      <c r="E115">
        <v>9.92</v>
      </c>
      <c r="F115" t="s">
        <v>65</v>
      </c>
      <c r="G115" t="s">
        <v>7</v>
      </c>
      <c r="H115" t="s">
        <v>7</v>
      </c>
      <c r="I115" t="s">
        <v>18</v>
      </c>
      <c r="J115" t="s">
        <v>18</v>
      </c>
    </row>
    <row r="116" spans="1:10" x14ac:dyDescent="0.4">
      <c r="A116" t="s">
        <v>277</v>
      </c>
      <c r="B116" t="s">
        <v>278</v>
      </c>
      <c r="C116" t="s">
        <v>45</v>
      </c>
      <c r="D116" t="s">
        <v>46</v>
      </c>
      <c r="E116">
        <v>14.08</v>
      </c>
      <c r="F116" t="s">
        <v>47</v>
      </c>
      <c r="G116" t="s">
        <v>5</v>
      </c>
      <c r="H116" t="s">
        <v>6</v>
      </c>
      <c r="I116" t="s">
        <v>13</v>
      </c>
      <c r="J116">
        <v>0</v>
      </c>
    </row>
    <row r="117" spans="1:10" x14ac:dyDescent="0.4">
      <c r="A117" t="s">
        <v>279</v>
      </c>
      <c r="B117" t="s">
        <v>280</v>
      </c>
      <c r="C117" t="s">
        <v>45</v>
      </c>
      <c r="D117" t="s">
        <v>50</v>
      </c>
      <c r="E117">
        <v>11.33</v>
      </c>
      <c r="F117" t="s">
        <v>47</v>
      </c>
      <c r="G117" t="s">
        <v>5</v>
      </c>
      <c r="H117" t="s">
        <v>6</v>
      </c>
      <c r="I117" t="s">
        <v>13</v>
      </c>
      <c r="J117">
        <v>1</v>
      </c>
    </row>
    <row r="118" spans="1:10" x14ac:dyDescent="0.4">
      <c r="A118" t="s">
        <v>281</v>
      </c>
      <c r="B118" t="s">
        <v>282</v>
      </c>
      <c r="C118" t="s">
        <v>45</v>
      </c>
      <c r="D118" t="s">
        <v>50</v>
      </c>
      <c r="E118">
        <v>7.83</v>
      </c>
      <c r="F118" t="s">
        <v>65</v>
      </c>
      <c r="G118" t="s">
        <v>9</v>
      </c>
      <c r="H118" t="s">
        <v>9</v>
      </c>
      <c r="I118" t="s">
        <v>18</v>
      </c>
      <c r="J118" t="s">
        <v>18</v>
      </c>
    </row>
    <row r="119" spans="1:10" x14ac:dyDescent="0.4">
      <c r="A119" t="s">
        <v>283</v>
      </c>
      <c r="B119" t="s">
        <v>284</v>
      </c>
      <c r="C119" t="s">
        <v>45</v>
      </c>
      <c r="D119" t="s">
        <v>50</v>
      </c>
      <c r="E119">
        <v>9.67</v>
      </c>
      <c r="F119" t="s">
        <v>65</v>
      </c>
      <c r="G119" t="s">
        <v>9</v>
      </c>
      <c r="H119" t="s">
        <v>9</v>
      </c>
      <c r="I119" t="s">
        <v>18</v>
      </c>
      <c r="J119" t="s">
        <v>18</v>
      </c>
    </row>
    <row r="120" spans="1:10" x14ac:dyDescent="0.4">
      <c r="A120" t="s">
        <v>285</v>
      </c>
      <c r="B120" t="s">
        <v>286</v>
      </c>
      <c r="C120" t="s">
        <v>45</v>
      </c>
      <c r="D120" t="s">
        <v>50</v>
      </c>
      <c r="E120">
        <v>12.67</v>
      </c>
      <c r="F120" t="s">
        <v>47</v>
      </c>
      <c r="G120" t="s">
        <v>7</v>
      </c>
      <c r="H120" t="s">
        <v>7</v>
      </c>
      <c r="I120" t="s">
        <v>18</v>
      </c>
      <c r="J120" t="s">
        <v>18</v>
      </c>
    </row>
    <row r="121" spans="1:10" x14ac:dyDescent="0.4">
      <c r="A121" t="s">
        <v>287</v>
      </c>
      <c r="B121" t="s">
        <v>288</v>
      </c>
      <c r="C121" t="s">
        <v>45</v>
      </c>
      <c r="D121" t="s">
        <v>50</v>
      </c>
      <c r="E121">
        <v>8</v>
      </c>
      <c r="F121" t="s">
        <v>65</v>
      </c>
      <c r="G121" t="s">
        <v>9</v>
      </c>
      <c r="H121" t="s">
        <v>9</v>
      </c>
      <c r="I121" t="s">
        <v>18</v>
      </c>
      <c r="J121" t="s">
        <v>18</v>
      </c>
    </row>
    <row r="122" spans="1:10" x14ac:dyDescent="0.4">
      <c r="A122" t="s">
        <v>289</v>
      </c>
      <c r="B122" t="s">
        <v>290</v>
      </c>
      <c r="C122" t="s">
        <v>45</v>
      </c>
      <c r="D122" t="s">
        <v>46</v>
      </c>
      <c r="E122">
        <v>10.67</v>
      </c>
      <c r="F122" t="s">
        <v>47</v>
      </c>
      <c r="G122" t="s">
        <v>9</v>
      </c>
      <c r="H122" t="s">
        <v>9</v>
      </c>
      <c r="I122" t="s">
        <v>18</v>
      </c>
      <c r="J122" t="s">
        <v>18</v>
      </c>
    </row>
    <row r="123" spans="1:10" x14ac:dyDescent="0.4">
      <c r="A123" t="s">
        <v>291</v>
      </c>
      <c r="B123" t="s">
        <v>292</v>
      </c>
      <c r="C123" t="s">
        <v>45</v>
      </c>
      <c r="D123" t="s">
        <v>46</v>
      </c>
      <c r="E123">
        <v>10.5</v>
      </c>
      <c r="F123" t="s">
        <v>47</v>
      </c>
      <c r="G123" t="s">
        <v>7</v>
      </c>
      <c r="H123" t="s">
        <v>7</v>
      </c>
      <c r="I123" t="s">
        <v>18</v>
      </c>
      <c r="J123" t="s">
        <v>18</v>
      </c>
    </row>
    <row r="124" spans="1:10" x14ac:dyDescent="0.4">
      <c r="A124" t="s">
        <v>293</v>
      </c>
      <c r="B124" t="s">
        <v>294</v>
      </c>
      <c r="C124" t="s">
        <v>45</v>
      </c>
      <c r="D124" t="s">
        <v>46</v>
      </c>
      <c r="E124">
        <v>8.5</v>
      </c>
      <c r="F124" t="s">
        <v>65</v>
      </c>
      <c r="G124" t="s">
        <v>7</v>
      </c>
      <c r="H124" t="s">
        <v>7</v>
      </c>
      <c r="I124" t="s">
        <v>18</v>
      </c>
      <c r="J124" t="s">
        <v>18</v>
      </c>
    </row>
    <row r="125" spans="1:10" x14ac:dyDescent="0.4">
      <c r="A125" t="s">
        <v>295</v>
      </c>
      <c r="B125" t="s">
        <v>296</v>
      </c>
      <c r="C125" t="s">
        <v>45</v>
      </c>
      <c r="D125" t="s">
        <v>46</v>
      </c>
      <c r="E125">
        <v>11.67</v>
      </c>
      <c r="F125" t="s">
        <v>47</v>
      </c>
      <c r="G125" t="s">
        <v>7</v>
      </c>
      <c r="H125" t="s">
        <v>7</v>
      </c>
      <c r="I125" t="s">
        <v>18</v>
      </c>
      <c r="J125" t="s">
        <v>18</v>
      </c>
    </row>
    <row r="126" spans="1:10" x14ac:dyDescent="0.4">
      <c r="A126" t="s">
        <v>297</v>
      </c>
      <c r="B126" t="s">
        <v>298</v>
      </c>
      <c r="C126" t="s">
        <v>45</v>
      </c>
      <c r="D126" t="s">
        <v>50</v>
      </c>
      <c r="E126">
        <v>5.75</v>
      </c>
      <c r="F126" t="s">
        <v>65</v>
      </c>
      <c r="G126" t="s">
        <v>7</v>
      </c>
      <c r="H126" t="s">
        <v>7</v>
      </c>
      <c r="I126" t="s">
        <v>18</v>
      </c>
      <c r="J126" t="s">
        <v>18</v>
      </c>
    </row>
    <row r="127" spans="1:10" x14ac:dyDescent="0.4">
      <c r="A127" t="s">
        <v>299</v>
      </c>
      <c r="B127" t="s">
        <v>300</v>
      </c>
      <c r="C127" t="s">
        <v>45</v>
      </c>
      <c r="D127" t="s">
        <v>50</v>
      </c>
      <c r="E127">
        <v>5.5</v>
      </c>
      <c r="F127" t="s">
        <v>65</v>
      </c>
      <c r="G127" t="s">
        <v>7</v>
      </c>
      <c r="H127" t="s">
        <v>7</v>
      </c>
      <c r="I127" t="s">
        <v>18</v>
      </c>
      <c r="J127" t="s">
        <v>18</v>
      </c>
    </row>
    <row r="128" spans="1:10" x14ac:dyDescent="0.4">
      <c r="A128" t="s">
        <v>301</v>
      </c>
      <c r="B128" t="s">
        <v>302</v>
      </c>
      <c r="C128" t="s">
        <v>45</v>
      </c>
      <c r="D128" t="s">
        <v>46</v>
      </c>
      <c r="E128">
        <v>14.5</v>
      </c>
      <c r="F128" t="s">
        <v>47</v>
      </c>
      <c r="G128" t="s">
        <v>7</v>
      </c>
      <c r="H128" t="s">
        <v>7</v>
      </c>
      <c r="I128" t="s">
        <v>18</v>
      </c>
      <c r="J128" t="s">
        <v>18</v>
      </c>
    </row>
    <row r="129" spans="1:10" x14ac:dyDescent="0.4">
      <c r="A129" t="s">
        <v>303</v>
      </c>
      <c r="B129" t="s">
        <v>304</v>
      </c>
      <c r="C129" t="s">
        <v>45</v>
      </c>
      <c r="D129" t="s">
        <v>46</v>
      </c>
      <c r="E129">
        <v>11.5</v>
      </c>
      <c r="F129" t="s">
        <v>47</v>
      </c>
      <c r="G129" t="s">
        <v>7</v>
      </c>
      <c r="H129" t="s">
        <v>7</v>
      </c>
      <c r="I129" t="s">
        <v>18</v>
      </c>
      <c r="J129" t="s">
        <v>18</v>
      </c>
    </row>
    <row r="130" spans="1:10" x14ac:dyDescent="0.4">
      <c r="A130" t="s">
        <v>305</v>
      </c>
      <c r="B130" t="s">
        <v>306</v>
      </c>
      <c r="C130" t="s">
        <v>45</v>
      </c>
      <c r="D130" t="s">
        <v>50</v>
      </c>
      <c r="E130">
        <v>11.83</v>
      </c>
      <c r="F130" t="s">
        <v>47</v>
      </c>
      <c r="G130" t="s">
        <v>7</v>
      </c>
      <c r="H130" t="s">
        <v>7</v>
      </c>
      <c r="I130" t="s">
        <v>18</v>
      </c>
      <c r="J130" t="s">
        <v>18</v>
      </c>
    </row>
    <row r="131" spans="1:10" x14ac:dyDescent="0.4">
      <c r="A131" t="s">
        <v>307</v>
      </c>
      <c r="B131" t="s">
        <v>308</v>
      </c>
      <c r="C131" t="s">
        <v>45</v>
      </c>
      <c r="D131" t="s">
        <v>50</v>
      </c>
      <c r="E131">
        <v>15.5</v>
      </c>
      <c r="F131" t="s">
        <v>47</v>
      </c>
      <c r="G131" t="s">
        <v>7</v>
      </c>
      <c r="H131" t="s">
        <v>7</v>
      </c>
      <c r="I131" t="s">
        <v>18</v>
      </c>
      <c r="J131" t="s">
        <v>18</v>
      </c>
    </row>
    <row r="132" spans="1:10" x14ac:dyDescent="0.4">
      <c r="A132" t="s">
        <v>309</v>
      </c>
      <c r="B132" t="s">
        <v>310</v>
      </c>
      <c r="C132" t="s">
        <v>45</v>
      </c>
      <c r="D132" t="s">
        <v>46</v>
      </c>
      <c r="E132">
        <v>8.25</v>
      </c>
      <c r="F132" t="s">
        <v>65</v>
      </c>
      <c r="G132" t="s">
        <v>7</v>
      </c>
      <c r="H132" t="s">
        <v>7</v>
      </c>
      <c r="I132" t="s">
        <v>18</v>
      </c>
      <c r="J132" t="s">
        <v>18</v>
      </c>
    </row>
    <row r="133" spans="1:10" x14ac:dyDescent="0.4">
      <c r="A133" t="s">
        <v>311</v>
      </c>
      <c r="B133" t="s">
        <v>312</v>
      </c>
      <c r="C133" t="s">
        <v>45</v>
      </c>
      <c r="D133" t="s">
        <v>50</v>
      </c>
      <c r="E133">
        <v>9.17</v>
      </c>
      <c r="F133" t="s">
        <v>65</v>
      </c>
      <c r="G133" t="s">
        <v>5</v>
      </c>
      <c r="H133" t="s">
        <v>6</v>
      </c>
      <c r="I133" t="s">
        <v>13</v>
      </c>
      <c r="J133">
        <v>0</v>
      </c>
    </row>
    <row r="134" spans="1:10" x14ac:dyDescent="0.4">
      <c r="A134" t="s">
        <v>313</v>
      </c>
      <c r="B134" t="s">
        <v>314</v>
      </c>
      <c r="C134" t="s">
        <v>45</v>
      </c>
      <c r="D134" t="s">
        <v>50</v>
      </c>
      <c r="E134">
        <v>13.67</v>
      </c>
      <c r="F134" t="s">
        <v>47</v>
      </c>
      <c r="G134" t="s">
        <v>5</v>
      </c>
      <c r="H134" t="s">
        <v>6</v>
      </c>
      <c r="I134" t="s">
        <v>13</v>
      </c>
      <c r="J134">
        <v>1</v>
      </c>
    </row>
    <row r="135" spans="1:10" x14ac:dyDescent="0.4">
      <c r="A135" t="s">
        <v>315</v>
      </c>
      <c r="B135" t="s">
        <v>316</v>
      </c>
      <c r="C135" t="s">
        <v>45</v>
      </c>
      <c r="D135" t="s">
        <v>50</v>
      </c>
      <c r="E135">
        <v>11.5</v>
      </c>
      <c r="F135" t="s">
        <v>47</v>
      </c>
      <c r="G135" t="s">
        <v>5</v>
      </c>
      <c r="H135" t="s">
        <v>6</v>
      </c>
      <c r="I135" t="s">
        <v>13</v>
      </c>
      <c r="J135">
        <v>0</v>
      </c>
    </row>
    <row r="136" spans="1:10" x14ac:dyDescent="0.4">
      <c r="A136" t="s">
        <v>317</v>
      </c>
      <c r="B136" t="s">
        <v>318</v>
      </c>
      <c r="C136" t="s">
        <v>45</v>
      </c>
      <c r="D136" t="s">
        <v>50</v>
      </c>
      <c r="E136">
        <v>14.42</v>
      </c>
      <c r="F136" t="s">
        <v>47</v>
      </c>
      <c r="G136" t="s">
        <v>5</v>
      </c>
      <c r="H136" t="s">
        <v>6</v>
      </c>
      <c r="I136" t="s">
        <v>13</v>
      </c>
      <c r="J136">
        <v>0</v>
      </c>
    </row>
    <row r="137" spans="1:10" x14ac:dyDescent="0.4">
      <c r="A137" t="s">
        <v>319</v>
      </c>
      <c r="B137" t="s">
        <v>320</v>
      </c>
      <c r="C137" t="s">
        <v>45</v>
      </c>
      <c r="D137" t="s">
        <v>46</v>
      </c>
      <c r="E137">
        <v>11.58</v>
      </c>
      <c r="F137" t="s">
        <v>47</v>
      </c>
      <c r="G137" t="s">
        <v>5</v>
      </c>
      <c r="H137" t="s">
        <v>6</v>
      </c>
      <c r="I137" t="s">
        <v>13</v>
      </c>
      <c r="J137">
        <v>0</v>
      </c>
    </row>
    <row r="138" spans="1:10" x14ac:dyDescent="0.4">
      <c r="A138" t="s">
        <v>321</v>
      </c>
      <c r="B138" t="s">
        <v>322</v>
      </c>
      <c r="C138" t="s">
        <v>45</v>
      </c>
      <c r="D138" t="s">
        <v>50</v>
      </c>
      <c r="E138">
        <v>15.83</v>
      </c>
      <c r="F138" t="s">
        <v>47</v>
      </c>
      <c r="G138" t="s">
        <v>5</v>
      </c>
      <c r="H138" t="s">
        <v>8</v>
      </c>
      <c r="I138" t="s">
        <v>15</v>
      </c>
      <c r="J138">
        <v>0</v>
      </c>
    </row>
    <row r="139" spans="1:10" x14ac:dyDescent="0.4">
      <c r="A139" t="s">
        <v>323</v>
      </c>
      <c r="B139" t="s">
        <v>324</v>
      </c>
      <c r="C139" t="s">
        <v>45</v>
      </c>
      <c r="D139" t="s">
        <v>46</v>
      </c>
      <c r="E139">
        <v>11.75</v>
      </c>
      <c r="F139" t="s">
        <v>47</v>
      </c>
      <c r="G139" t="s">
        <v>5</v>
      </c>
      <c r="H139" t="s">
        <v>6</v>
      </c>
      <c r="I139" t="s">
        <v>13</v>
      </c>
      <c r="J139">
        <v>1</v>
      </c>
    </row>
    <row r="140" spans="1:10" x14ac:dyDescent="0.4">
      <c r="A140" t="s">
        <v>325</v>
      </c>
      <c r="B140" t="s">
        <v>326</v>
      </c>
      <c r="C140" t="s">
        <v>45</v>
      </c>
      <c r="D140" t="s">
        <v>50</v>
      </c>
      <c r="E140">
        <v>11.5</v>
      </c>
      <c r="F140" t="s">
        <v>47</v>
      </c>
      <c r="G140" t="s">
        <v>5</v>
      </c>
      <c r="H140" t="s">
        <v>6</v>
      </c>
      <c r="I140" t="s">
        <v>13</v>
      </c>
      <c r="J140">
        <v>1</v>
      </c>
    </row>
    <row r="141" spans="1:10" x14ac:dyDescent="0.4">
      <c r="A141" t="s">
        <v>327</v>
      </c>
      <c r="B141" t="s">
        <v>328</v>
      </c>
      <c r="C141" t="s">
        <v>45</v>
      </c>
      <c r="D141" t="s">
        <v>46</v>
      </c>
      <c r="E141">
        <v>11</v>
      </c>
      <c r="F141" t="s">
        <v>47</v>
      </c>
      <c r="G141" t="s">
        <v>5</v>
      </c>
      <c r="H141" t="s">
        <v>6</v>
      </c>
      <c r="I141" t="s">
        <v>13</v>
      </c>
      <c r="J141">
        <v>0</v>
      </c>
    </row>
    <row r="142" spans="1:10" x14ac:dyDescent="0.4">
      <c r="A142" t="s">
        <v>329</v>
      </c>
      <c r="B142" t="s">
        <v>330</v>
      </c>
      <c r="C142" t="s">
        <v>45</v>
      </c>
      <c r="D142" t="s">
        <v>46</v>
      </c>
      <c r="E142">
        <v>12.33</v>
      </c>
      <c r="F142" t="s">
        <v>47</v>
      </c>
      <c r="G142" t="s">
        <v>5</v>
      </c>
      <c r="H142" t="s">
        <v>6</v>
      </c>
      <c r="I142" t="s">
        <v>13</v>
      </c>
      <c r="J142">
        <v>0</v>
      </c>
    </row>
    <row r="143" spans="1:10" x14ac:dyDescent="0.4">
      <c r="A143" t="s">
        <v>331</v>
      </c>
      <c r="B143" t="s">
        <v>332</v>
      </c>
      <c r="C143" t="s">
        <v>45</v>
      </c>
      <c r="D143" t="s">
        <v>50</v>
      </c>
      <c r="E143">
        <v>6.25</v>
      </c>
      <c r="F143" t="s">
        <v>65</v>
      </c>
      <c r="G143" t="s">
        <v>5</v>
      </c>
      <c r="H143" t="s">
        <v>6</v>
      </c>
      <c r="I143" t="s">
        <v>13</v>
      </c>
      <c r="J143">
        <v>1</v>
      </c>
    </row>
    <row r="144" spans="1:10" x14ac:dyDescent="0.4">
      <c r="A144" t="s">
        <v>333</v>
      </c>
      <c r="B144" t="s">
        <v>334</v>
      </c>
      <c r="C144" t="s">
        <v>45</v>
      </c>
      <c r="D144" t="s">
        <v>46</v>
      </c>
      <c r="E144">
        <v>10.67</v>
      </c>
      <c r="F144" t="s">
        <v>47</v>
      </c>
      <c r="G144" t="s">
        <v>5</v>
      </c>
      <c r="H144" t="s">
        <v>6</v>
      </c>
      <c r="I144" t="s">
        <v>13</v>
      </c>
      <c r="J144">
        <v>1</v>
      </c>
    </row>
    <row r="145" spans="1:10" x14ac:dyDescent="0.4">
      <c r="A145" t="s">
        <v>335</v>
      </c>
      <c r="B145" t="s">
        <v>336</v>
      </c>
      <c r="C145" t="s">
        <v>45</v>
      </c>
      <c r="D145" t="s">
        <v>46</v>
      </c>
      <c r="E145">
        <v>13.08</v>
      </c>
      <c r="F145" t="s">
        <v>47</v>
      </c>
      <c r="G145" t="s">
        <v>7</v>
      </c>
      <c r="H145" t="s">
        <v>7</v>
      </c>
      <c r="I145" t="s">
        <v>18</v>
      </c>
      <c r="J145" t="s">
        <v>18</v>
      </c>
    </row>
    <row r="146" spans="1:10" x14ac:dyDescent="0.4">
      <c r="A146" t="s">
        <v>337</v>
      </c>
      <c r="B146" t="s">
        <v>338</v>
      </c>
      <c r="C146" t="s">
        <v>45</v>
      </c>
      <c r="D146" t="s">
        <v>46</v>
      </c>
      <c r="E146">
        <v>11.25</v>
      </c>
      <c r="F146" t="s">
        <v>47</v>
      </c>
      <c r="G146" t="s">
        <v>5</v>
      </c>
      <c r="H146" t="s">
        <v>6</v>
      </c>
      <c r="I146" t="s">
        <v>13</v>
      </c>
      <c r="J146">
        <v>1</v>
      </c>
    </row>
    <row r="147" spans="1:10" x14ac:dyDescent="0.4">
      <c r="A147" t="s">
        <v>339</v>
      </c>
      <c r="B147" t="s">
        <v>340</v>
      </c>
      <c r="C147" t="s">
        <v>45</v>
      </c>
      <c r="D147" t="s">
        <v>46</v>
      </c>
      <c r="E147">
        <v>7.25</v>
      </c>
      <c r="F147" t="s">
        <v>65</v>
      </c>
      <c r="G147" t="s">
        <v>5</v>
      </c>
      <c r="H147" t="s">
        <v>6</v>
      </c>
      <c r="I147" t="s">
        <v>13</v>
      </c>
      <c r="J147">
        <v>1</v>
      </c>
    </row>
    <row r="148" spans="1:10" x14ac:dyDescent="0.4">
      <c r="A148" t="s">
        <v>341</v>
      </c>
      <c r="B148" t="s">
        <v>342</v>
      </c>
      <c r="C148" t="s">
        <v>45</v>
      </c>
      <c r="D148" t="s">
        <v>50</v>
      </c>
      <c r="E148">
        <v>11.08</v>
      </c>
      <c r="F148" t="s">
        <v>47</v>
      </c>
      <c r="G148" t="s">
        <v>5</v>
      </c>
      <c r="H148" t="s">
        <v>6</v>
      </c>
      <c r="I148" t="s">
        <v>13</v>
      </c>
      <c r="J148">
        <v>1</v>
      </c>
    </row>
    <row r="149" spans="1:10" x14ac:dyDescent="0.4">
      <c r="A149" t="s">
        <v>343</v>
      </c>
      <c r="B149" t="s">
        <v>344</v>
      </c>
      <c r="C149" t="s">
        <v>45</v>
      </c>
      <c r="D149" t="s">
        <v>50</v>
      </c>
      <c r="E149">
        <v>8.83</v>
      </c>
      <c r="F149" t="s">
        <v>65</v>
      </c>
      <c r="G149" t="s">
        <v>5</v>
      </c>
      <c r="H149" t="s">
        <v>6</v>
      </c>
      <c r="I149" t="s">
        <v>13</v>
      </c>
      <c r="J149">
        <v>1</v>
      </c>
    </row>
    <row r="150" spans="1:10" x14ac:dyDescent="0.4">
      <c r="A150" t="s">
        <v>345</v>
      </c>
      <c r="B150" t="s">
        <v>346</v>
      </c>
      <c r="C150" t="s">
        <v>45</v>
      </c>
      <c r="D150" t="s">
        <v>50</v>
      </c>
      <c r="E150">
        <v>11.17</v>
      </c>
      <c r="F150" t="s">
        <v>47</v>
      </c>
      <c r="G150" t="s">
        <v>5</v>
      </c>
      <c r="H150" t="s">
        <v>6</v>
      </c>
      <c r="I150" t="s">
        <v>13</v>
      </c>
      <c r="J150">
        <v>0</v>
      </c>
    </row>
    <row r="151" spans="1:10" x14ac:dyDescent="0.4">
      <c r="A151" t="s">
        <v>347</v>
      </c>
      <c r="B151" t="s">
        <v>348</v>
      </c>
      <c r="C151" t="s">
        <v>45</v>
      </c>
      <c r="D151" t="s">
        <v>50</v>
      </c>
      <c r="E151">
        <v>10.67</v>
      </c>
      <c r="F151" t="s">
        <v>47</v>
      </c>
      <c r="G151" t="s">
        <v>5</v>
      </c>
      <c r="H151" t="s">
        <v>6</v>
      </c>
      <c r="I151" t="s">
        <v>13</v>
      </c>
      <c r="J151">
        <v>1</v>
      </c>
    </row>
    <row r="152" spans="1:10" x14ac:dyDescent="0.4">
      <c r="A152" t="s">
        <v>349</v>
      </c>
      <c r="B152" t="s">
        <v>350</v>
      </c>
      <c r="C152" t="s">
        <v>45</v>
      </c>
      <c r="D152" t="s">
        <v>46</v>
      </c>
      <c r="E152">
        <v>6.75</v>
      </c>
      <c r="F152" t="s">
        <v>65</v>
      </c>
      <c r="G152" t="s">
        <v>7</v>
      </c>
      <c r="H152" t="s">
        <v>7</v>
      </c>
      <c r="I152" t="s">
        <v>18</v>
      </c>
      <c r="J152" t="s">
        <v>18</v>
      </c>
    </row>
    <row r="153" spans="1:10" x14ac:dyDescent="0.4">
      <c r="A153" t="s">
        <v>351</v>
      </c>
      <c r="B153" t="s">
        <v>352</v>
      </c>
      <c r="C153" t="s">
        <v>45</v>
      </c>
      <c r="D153" t="s">
        <v>50</v>
      </c>
      <c r="E153">
        <v>9.67</v>
      </c>
      <c r="F153" t="s">
        <v>65</v>
      </c>
      <c r="G153" t="s">
        <v>7</v>
      </c>
      <c r="H153" t="s">
        <v>7</v>
      </c>
      <c r="I153" t="s">
        <v>18</v>
      </c>
      <c r="J153" t="s">
        <v>18</v>
      </c>
    </row>
    <row r="154" spans="1:10" x14ac:dyDescent="0.4">
      <c r="A154" t="s">
        <v>353</v>
      </c>
      <c r="B154" t="s">
        <v>354</v>
      </c>
      <c r="C154" t="s">
        <v>45</v>
      </c>
      <c r="D154" t="s">
        <v>50</v>
      </c>
      <c r="E154">
        <v>8.5</v>
      </c>
      <c r="F154" t="s">
        <v>65</v>
      </c>
      <c r="G154" t="s">
        <v>7</v>
      </c>
      <c r="H154" t="s">
        <v>7</v>
      </c>
      <c r="I154" t="s">
        <v>18</v>
      </c>
      <c r="J154" t="s">
        <v>18</v>
      </c>
    </row>
    <row r="155" spans="1:10" x14ac:dyDescent="0.4">
      <c r="A155" t="s">
        <v>355</v>
      </c>
      <c r="B155" t="s">
        <v>356</v>
      </c>
      <c r="C155" t="s">
        <v>45</v>
      </c>
      <c r="D155" t="s">
        <v>46</v>
      </c>
      <c r="E155">
        <v>14.42</v>
      </c>
      <c r="F155" t="s">
        <v>47</v>
      </c>
      <c r="G155" t="s">
        <v>7</v>
      </c>
      <c r="H155" t="s">
        <v>7</v>
      </c>
      <c r="I155" t="s">
        <v>18</v>
      </c>
      <c r="J155" t="s">
        <v>18</v>
      </c>
    </row>
    <row r="156" spans="1:10" x14ac:dyDescent="0.4">
      <c r="A156" t="s">
        <v>357</v>
      </c>
      <c r="B156" t="s">
        <v>358</v>
      </c>
      <c r="C156" t="s">
        <v>45</v>
      </c>
      <c r="D156" t="s">
        <v>46</v>
      </c>
      <c r="E156">
        <v>13.17</v>
      </c>
      <c r="F156" t="s">
        <v>47</v>
      </c>
      <c r="G156" t="s">
        <v>7</v>
      </c>
      <c r="H156" t="s">
        <v>7</v>
      </c>
      <c r="I156" t="s">
        <v>18</v>
      </c>
      <c r="J156" t="s">
        <v>18</v>
      </c>
    </row>
    <row r="157" spans="1:10" x14ac:dyDescent="0.4">
      <c r="A157" t="s">
        <v>359</v>
      </c>
      <c r="B157" t="s">
        <v>360</v>
      </c>
      <c r="C157" t="s">
        <v>45</v>
      </c>
      <c r="D157" t="s">
        <v>46</v>
      </c>
      <c r="E157">
        <v>6.75</v>
      </c>
      <c r="F157" t="s">
        <v>65</v>
      </c>
      <c r="G157" t="s">
        <v>5</v>
      </c>
      <c r="H157" t="s">
        <v>8</v>
      </c>
      <c r="I157" t="s">
        <v>17</v>
      </c>
      <c r="J157">
        <v>0</v>
      </c>
    </row>
    <row r="158" spans="1:10" x14ac:dyDescent="0.4">
      <c r="A158" t="s">
        <v>361</v>
      </c>
      <c r="B158" t="s">
        <v>362</v>
      </c>
      <c r="C158" t="s">
        <v>45</v>
      </c>
      <c r="D158" t="s">
        <v>46</v>
      </c>
      <c r="E158">
        <v>8.83</v>
      </c>
      <c r="F158" t="s">
        <v>65</v>
      </c>
      <c r="G158" t="s">
        <v>5</v>
      </c>
      <c r="H158" t="s">
        <v>8</v>
      </c>
      <c r="I158" t="s">
        <v>15</v>
      </c>
      <c r="J158">
        <v>0</v>
      </c>
    </row>
    <row r="159" spans="1:10" x14ac:dyDescent="0.4">
      <c r="A159" t="s">
        <v>363</v>
      </c>
      <c r="B159" t="s">
        <v>364</v>
      </c>
      <c r="C159" t="s">
        <v>45</v>
      </c>
      <c r="D159" t="s">
        <v>46</v>
      </c>
      <c r="E159">
        <v>7.83</v>
      </c>
      <c r="F159" t="s">
        <v>65</v>
      </c>
      <c r="G159" t="s">
        <v>5</v>
      </c>
      <c r="H159" t="s">
        <v>8</v>
      </c>
      <c r="I159" t="s">
        <v>17</v>
      </c>
      <c r="J159">
        <v>0</v>
      </c>
    </row>
    <row r="160" spans="1:10" x14ac:dyDescent="0.4">
      <c r="A160" t="s">
        <v>365</v>
      </c>
      <c r="B160" t="s">
        <v>366</v>
      </c>
      <c r="C160" t="s">
        <v>45</v>
      </c>
      <c r="D160" t="s">
        <v>46</v>
      </c>
      <c r="E160">
        <v>11.92</v>
      </c>
      <c r="F160" t="s">
        <v>47</v>
      </c>
      <c r="G160" t="s">
        <v>5</v>
      </c>
      <c r="H160" t="s">
        <v>8</v>
      </c>
      <c r="I160" t="s">
        <v>15</v>
      </c>
      <c r="J160">
        <v>0</v>
      </c>
    </row>
    <row r="161" spans="1:10" x14ac:dyDescent="0.4">
      <c r="A161" t="s">
        <v>367</v>
      </c>
      <c r="B161" t="s">
        <v>368</v>
      </c>
      <c r="C161" t="s">
        <v>45</v>
      </c>
      <c r="D161" t="s">
        <v>50</v>
      </c>
      <c r="E161">
        <v>12.58</v>
      </c>
      <c r="F161" t="s">
        <v>47</v>
      </c>
      <c r="G161" t="s">
        <v>5</v>
      </c>
      <c r="H161" t="s">
        <v>8</v>
      </c>
      <c r="I161" t="s">
        <v>15</v>
      </c>
      <c r="J161">
        <v>0</v>
      </c>
    </row>
    <row r="162" spans="1:10" x14ac:dyDescent="0.4">
      <c r="A162" t="s">
        <v>369</v>
      </c>
      <c r="B162" t="s">
        <v>370</v>
      </c>
      <c r="C162" t="s">
        <v>45</v>
      </c>
      <c r="D162" t="s">
        <v>46</v>
      </c>
      <c r="E162">
        <v>8.83</v>
      </c>
      <c r="F162" t="s">
        <v>65</v>
      </c>
      <c r="G162" t="s">
        <v>5</v>
      </c>
      <c r="H162" t="s">
        <v>8</v>
      </c>
      <c r="I162" t="s">
        <v>15</v>
      </c>
      <c r="J162">
        <v>0</v>
      </c>
    </row>
    <row r="163" spans="1:10" x14ac:dyDescent="0.4">
      <c r="A163" t="s">
        <v>371</v>
      </c>
      <c r="B163" t="s">
        <v>372</v>
      </c>
      <c r="C163" t="s">
        <v>45</v>
      </c>
      <c r="D163" t="s">
        <v>46</v>
      </c>
      <c r="E163">
        <v>9.75</v>
      </c>
      <c r="F163" t="s">
        <v>65</v>
      </c>
      <c r="G163" t="s">
        <v>5</v>
      </c>
      <c r="H163" t="s">
        <v>8</v>
      </c>
      <c r="I163" t="s">
        <v>15</v>
      </c>
      <c r="J163">
        <v>0</v>
      </c>
    </row>
    <row r="164" spans="1:10" x14ac:dyDescent="0.4">
      <c r="A164" t="s">
        <v>373</v>
      </c>
      <c r="B164" t="s">
        <v>374</v>
      </c>
      <c r="C164" t="s">
        <v>45</v>
      </c>
      <c r="D164" t="s">
        <v>46</v>
      </c>
      <c r="E164">
        <v>9.25</v>
      </c>
      <c r="F164" t="s">
        <v>65</v>
      </c>
      <c r="G164" t="s">
        <v>5</v>
      </c>
      <c r="H164" t="s">
        <v>6</v>
      </c>
      <c r="I164" t="s">
        <v>13</v>
      </c>
      <c r="J164">
        <v>1</v>
      </c>
    </row>
    <row r="165" spans="1:10" x14ac:dyDescent="0.4">
      <c r="A165" t="s">
        <v>375</v>
      </c>
      <c r="B165" t="s">
        <v>376</v>
      </c>
      <c r="C165" t="s">
        <v>45</v>
      </c>
      <c r="D165" t="s">
        <v>46</v>
      </c>
      <c r="E165">
        <v>8.83</v>
      </c>
      <c r="F165" t="s">
        <v>65</v>
      </c>
      <c r="G165" t="s">
        <v>5</v>
      </c>
      <c r="H165" t="s">
        <v>8</v>
      </c>
      <c r="I165" t="s">
        <v>17</v>
      </c>
      <c r="J165">
        <v>0</v>
      </c>
    </row>
    <row r="166" spans="1:10" x14ac:dyDescent="0.4">
      <c r="A166" t="s">
        <v>377</v>
      </c>
      <c r="B166" t="s">
        <v>378</v>
      </c>
      <c r="C166" t="s">
        <v>45</v>
      </c>
      <c r="D166" t="s">
        <v>46</v>
      </c>
      <c r="E166">
        <v>9.75</v>
      </c>
      <c r="F166" t="s">
        <v>65</v>
      </c>
      <c r="G166" t="s">
        <v>5</v>
      </c>
      <c r="H166" t="s">
        <v>6</v>
      </c>
      <c r="I166" t="s">
        <v>13</v>
      </c>
      <c r="J166">
        <v>1</v>
      </c>
    </row>
    <row r="167" spans="1:10" x14ac:dyDescent="0.4">
      <c r="A167" t="s">
        <v>379</v>
      </c>
      <c r="B167" t="s">
        <v>380</v>
      </c>
      <c r="C167" t="s">
        <v>45</v>
      </c>
      <c r="D167" t="s">
        <v>50</v>
      </c>
      <c r="E167">
        <v>9.58</v>
      </c>
      <c r="F167" t="s">
        <v>65</v>
      </c>
      <c r="G167" t="s">
        <v>5</v>
      </c>
      <c r="H167" t="s">
        <v>6</v>
      </c>
      <c r="I167" t="s">
        <v>13</v>
      </c>
      <c r="J167">
        <v>0</v>
      </c>
    </row>
    <row r="168" spans="1:10" x14ac:dyDescent="0.4">
      <c r="A168" t="s">
        <v>381</v>
      </c>
      <c r="B168" t="s">
        <v>382</v>
      </c>
      <c r="C168" t="s">
        <v>45</v>
      </c>
      <c r="D168" t="s">
        <v>50</v>
      </c>
      <c r="E168">
        <v>9.58</v>
      </c>
      <c r="F168" t="s">
        <v>65</v>
      </c>
      <c r="G168" t="s">
        <v>5</v>
      </c>
      <c r="H168" t="s">
        <v>6</v>
      </c>
      <c r="I168" t="s">
        <v>13</v>
      </c>
      <c r="J168">
        <v>1</v>
      </c>
    </row>
    <row r="169" spans="1:10" x14ac:dyDescent="0.4">
      <c r="A169" t="s">
        <v>383</v>
      </c>
      <c r="B169" t="s">
        <v>384</v>
      </c>
      <c r="C169" t="s">
        <v>45</v>
      </c>
      <c r="D169" t="s">
        <v>50</v>
      </c>
      <c r="E169">
        <v>9.25</v>
      </c>
      <c r="F169" t="s">
        <v>65</v>
      </c>
      <c r="G169" t="s">
        <v>5</v>
      </c>
      <c r="H169" t="s">
        <v>6</v>
      </c>
      <c r="I169" t="s">
        <v>13</v>
      </c>
      <c r="J169">
        <v>0</v>
      </c>
    </row>
    <row r="170" spans="1:10" x14ac:dyDescent="0.4">
      <c r="A170" t="s">
        <v>385</v>
      </c>
      <c r="B170" t="s">
        <v>386</v>
      </c>
      <c r="C170" t="s">
        <v>45</v>
      </c>
      <c r="D170" t="s">
        <v>50</v>
      </c>
      <c r="E170">
        <v>9.08</v>
      </c>
      <c r="F170" t="s">
        <v>65</v>
      </c>
      <c r="G170" t="s">
        <v>5</v>
      </c>
      <c r="H170" t="s">
        <v>6</v>
      </c>
      <c r="I170" t="s">
        <v>13</v>
      </c>
      <c r="J170">
        <v>0</v>
      </c>
    </row>
    <row r="171" spans="1:10" x14ac:dyDescent="0.4">
      <c r="A171" t="s">
        <v>387</v>
      </c>
      <c r="B171" t="s">
        <v>388</v>
      </c>
      <c r="C171" t="s">
        <v>45</v>
      </c>
      <c r="D171" t="s">
        <v>50</v>
      </c>
      <c r="E171">
        <v>9</v>
      </c>
      <c r="F171" t="s">
        <v>65</v>
      </c>
      <c r="G171" t="s">
        <v>5</v>
      </c>
      <c r="H171" t="s">
        <v>6</v>
      </c>
      <c r="I171" t="s">
        <v>13</v>
      </c>
      <c r="J171">
        <v>1</v>
      </c>
    </row>
    <row r="172" spans="1:10" x14ac:dyDescent="0.4">
      <c r="A172" t="s">
        <v>389</v>
      </c>
      <c r="B172" t="s">
        <v>390</v>
      </c>
      <c r="C172" t="s">
        <v>45</v>
      </c>
      <c r="D172" t="s">
        <v>50</v>
      </c>
      <c r="E172">
        <v>16.420000000000002</v>
      </c>
      <c r="F172" t="s">
        <v>47</v>
      </c>
      <c r="G172" t="s">
        <v>5</v>
      </c>
      <c r="H172" t="s">
        <v>6</v>
      </c>
      <c r="I172" t="s">
        <v>13</v>
      </c>
      <c r="J172">
        <v>1</v>
      </c>
    </row>
    <row r="173" spans="1:10" x14ac:dyDescent="0.4">
      <c r="A173" t="s">
        <v>391</v>
      </c>
      <c r="B173" t="s">
        <v>392</v>
      </c>
      <c r="C173" t="s">
        <v>45</v>
      </c>
      <c r="D173" t="s">
        <v>50</v>
      </c>
      <c r="E173">
        <v>16.079999999999998</v>
      </c>
      <c r="F173" t="s">
        <v>47</v>
      </c>
      <c r="G173" t="s">
        <v>5</v>
      </c>
      <c r="H173" t="s">
        <v>6</v>
      </c>
      <c r="I173" t="s">
        <v>13</v>
      </c>
      <c r="J173">
        <v>0</v>
      </c>
    </row>
    <row r="174" spans="1:10" x14ac:dyDescent="0.4">
      <c r="A174" t="s">
        <v>393</v>
      </c>
      <c r="B174" t="s">
        <v>394</v>
      </c>
      <c r="C174" t="s">
        <v>45</v>
      </c>
      <c r="D174" t="s">
        <v>46</v>
      </c>
      <c r="E174">
        <v>8.92</v>
      </c>
      <c r="F174" t="s">
        <v>65</v>
      </c>
      <c r="G174" t="s">
        <v>5</v>
      </c>
      <c r="H174" t="s">
        <v>6</v>
      </c>
      <c r="I174" t="s">
        <v>13</v>
      </c>
      <c r="J174">
        <v>0</v>
      </c>
    </row>
    <row r="175" spans="1:10" x14ac:dyDescent="0.4">
      <c r="A175" t="s">
        <v>395</v>
      </c>
      <c r="B175" t="s">
        <v>396</v>
      </c>
      <c r="C175" t="s">
        <v>45</v>
      </c>
      <c r="D175" t="s">
        <v>50</v>
      </c>
      <c r="E175">
        <v>7.92</v>
      </c>
      <c r="F175" t="s">
        <v>65</v>
      </c>
      <c r="G175" t="s">
        <v>5</v>
      </c>
      <c r="H175" t="s">
        <v>6</v>
      </c>
      <c r="I175" t="s">
        <v>13</v>
      </c>
      <c r="J175">
        <v>0</v>
      </c>
    </row>
    <row r="176" spans="1:10" x14ac:dyDescent="0.4">
      <c r="A176" t="s">
        <v>397</v>
      </c>
      <c r="B176" t="s">
        <v>398</v>
      </c>
      <c r="C176" t="s">
        <v>45</v>
      </c>
      <c r="D176" t="s">
        <v>50</v>
      </c>
      <c r="E176">
        <v>7.92</v>
      </c>
      <c r="F176" t="s">
        <v>65</v>
      </c>
      <c r="G176" t="s">
        <v>5</v>
      </c>
      <c r="H176" t="s">
        <v>6</v>
      </c>
      <c r="I176" t="s">
        <v>13</v>
      </c>
      <c r="J176">
        <v>0</v>
      </c>
    </row>
    <row r="177" spans="1:10" x14ac:dyDescent="0.4">
      <c r="A177" t="s">
        <v>399</v>
      </c>
      <c r="B177" t="s">
        <v>400</v>
      </c>
      <c r="C177" t="s">
        <v>45</v>
      </c>
      <c r="D177" t="s">
        <v>50</v>
      </c>
      <c r="E177">
        <v>8.92</v>
      </c>
      <c r="F177" t="s">
        <v>65</v>
      </c>
      <c r="G177" t="s">
        <v>5</v>
      </c>
      <c r="H177" t="s">
        <v>6</v>
      </c>
      <c r="I177" t="s">
        <v>13</v>
      </c>
      <c r="J177">
        <v>1</v>
      </c>
    </row>
    <row r="178" spans="1:10" x14ac:dyDescent="0.4">
      <c r="A178" t="s">
        <v>401</v>
      </c>
      <c r="B178" t="s">
        <v>402</v>
      </c>
      <c r="C178" t="s">
        <v>45</v>
      </c>
      <c r="D178" t="s">
        <v>50</v>
      </c>
      <c r="E178">
        <v>9.58</v>
      </c>
      <c r="F178" t="s">
        <v>65</v>
      </c>
      <c r="G178" t="s">
        <v>5</v>
      </c>
      <c r="H178" t="s">
        <v>6</v>
      </c>
      <c r="I178" t="s">
        <v>13</v>
      </c>
      <c r="J178">
        <v>1</v>
      </c>
    </row>
    <row r="179" spans="1:10" x14ac:dyDescent="0.4">
      <c r="A179" t="s">
        <v>403</v>
      </c>
      <c r="B179" t="s">
        <v>404</v>
      </c>
      <c r="C179" t="s">
        <v>45</v>
      </c>
      <c r="D179" t="s">
        <v>50</v>
      </c>
      <c r="E179">
        <v>6.75</v>
      </c>
      <c r="F179" t="s">
        <v>65</v>
      </c>
      <c r="G179" t="s">
        <v>5</v>
      </c>
      <c r="H179" t="s">
        <v>6</v>
      </c>
      <c r="I179" t="s">
        <v>13</v>
      </c>
      <c r="J179">
        <v>0</v>
      </c>
    </row>
    <row r="180" spans="1:10" x14ac:dyDescent="0.4">
      <c r="A180" t="s">
        <v>405</v>
      </c>
      <c r="B180" t="s">
        <v>406</v>
      </c>
      <c r="C180" t="s">
        <v>45</v>
      </c>
      <c r="D180" t="s">
        <v>50</v>
      </c>
      <c r="E180">
        <v>8.83</v>
      </c>
      <c r="F180" t="s">
        <v>65</v>
      </c>
      <c r="G180" t="s">
        <v>5</v>
      </c>
      <c r="H180" t="s">
        <v>6</v>
      </c>
      <c r="I180" t="s">
        <v>13</v>
      </c>
      <c r="J180">
        <v>0</v>
      </c>
    </row>
    <row r="181" spans="1:10" x14ac:dyDescent="0.4">
      <c r="A181" t="s">
        <v>407</v>
      </c>
      <c r="B181" t="s">
        <v>408</v>
      </c>
      <c r="C181" t="s">
        <v>45</v>
      </c>
      <c r="D181" t="s">
        <v>46</v>
      </c>
      <c r="E181">
        <v>12.67</v>
      </c>
      <c r="F181" t="s">
        <v>47</v>
      </c>
      <c r="G181" t="s">
        <v>9</v>
      </c>
      <c r="H181" t="s">
        <v>9</v>
      </c>
      <c r="I181" t="s">
        <v>18</v>
      </c>
      <c r="J181" t="s">
        <v>18</v>
      </c>
    </row>
    <row r="182" spans="1:10" x14ac:dyDescent="0.4">
      <c r="A182" t="s">
        <v>409</v>
      </c>
      <c r="B182" t="s">
        <v>410</v>
      </c>
      <c r="C182" t="s">
        <v>45</v>
      </c>
      <c r="D182" t="s">
        <v>50</v>
      </c>
      <c r="E182">
        <v>8.42</v>
      </c>
      <c r="F182" t="s">
        <v>65</v>
      </c>
      <c r="G182" t="s">
        <v>5</v>
      </c>
      <c r="H182" t="s">
        <v>6</v>
      </c>
      <c r="I182" t="s">
        <v>13</v>
      </c>
      <c r="J182">
        <v>1</v>
      </c>
    </row>
    <row r="183" spans="1:10" x14ac:dyDescent="0.4">
      <c r="A183" t="s">
        <v>411</v>
      </c>
      <c r="B183" t="s">
        <v>412</v>
      </c>
      <c r="C183" t="s">
        <v>45</v>
      </c>
      <c r="D183" t="s">
        <v>50</v>
      </c>
      <c r="E183">
        <v>9.17</v>
      </c>
      <c r="F183" t="s">
        <v>65</v>
      </c>
      <c r="G183" t="s">
        <v>5</v>
      </c>
      <c r="H183" t="s">
        <v>6</v>
      </c>
      <c r="I183" t="s">
        <v>13</v>
      </c>
      <c r="J183">
        <v>0</v>
      </c>
    </row>
    <row r="184" spans="1:10" x14ac:dyDescent="0.4">
      <c r="A184" t="s">
        <v>413</v>
      </c>
      <c r="B184" t="s">
        <v>414</v>
      </c>
      <c r="C184" t="s">
        <v>45</v>
      </c>
      <c r="D184" t="s">
        <v>50</v>
      </c>
      <c r="E184">
        <v>7.33</v>
      </c>
      <c r="F184" t="s">
        <v>65</v>
      </c>
      <c r="G184" t="s">
        <v>5</v>
      </c>
      <c r="H184" t="s">
        <v>6</v>
      </c>
      <c r="I184" t="s">
        <v>13</v>
      </c>
      <c r="J184">
        <v>1</v>
      </c>
    </row>
    <row r="185" spans="1:10" x14ac:dyDescent="0.4">
      <c r="A185" t="s">
        <v>415</v>
      </c>
      <c r="B185" t="s">
        <v>416</v>
      </c>
      <c r="C185" t="s">
        <v>45</v>
      </c>
      <c r="D185" t="s">
        <v>50</v>
      </c>
      <c r="E185">
        <v>5.67</v>
      </c>
      <c r="F185" t="s">
        <v>65</v>
      </c>
      <c r="G185" t="s">
        <v>5</v>
      </c>
      <c r="H185" t="s">
        <v>8</v>
      </c>
      <c r="I185" t="s">
        <v>15</v>
      </c>
      <c r="J185">
        <v>0</v>
      </c>
    </row>
    <row r="186" spans="1:10" x14ac:dyDescent="0.4">
      <c r="A186" t="s">
        <v>417</v>
      </c>
      <c r="B186" t="s">
        <v>418</v>
      </c>
      <c r="C186" t="s">
        <v>45</v>
      </c>
      <c r="D186" t="s">
        <v>50</v>
      </c>
      <c r="E186">
        <v>8.75</v>
      </c>
      <c r="F186" t="s">
        <v>65</v>
      </c>
      <c r="G186" t="s">
        <v>5</v>
      </c>
      <c r="H186" t="s">
        <v>6</v>
      </c>
      <c r="I186" t="s">
        <v>13</v>
      </c>
      <c r="J186">
        <v>0</v>
      </c>
    </row>
    <row r="187" spans="1:10" x14ac:dyDescent="0.4">
      <c r="A187" t="s">
        <v>419</v>
      </c>
      <c r="B187" t="s">
        <v>420</v>
      </c>
      <c r="C187" t="s">
        <v>45</v>
      </c>
      <c r="D187" t="s">
        <v>50</v>
      </c>
      <c r="E187">
        <v>9.25</v>
      </c>
      <c r="F187" t="s">
        <v>65</v>
      </c>
      <c r="G187" t="s">
        <v>5</v>
      </c>
      <c r="H187" t="s">
        <v>6</v>
      </c>
      <c r="I187" t="s">
        <v>13</v>
      </c>
      <c r="J187">
        <v>0</v>
      </c>
    </row>
    <row r="188" spans="1:10" x14ac:dyDescent="0.4">
      <c r="A188" t="s">
        <v>421</v>
      </c>
      <c r="B188" t="s">
        <v>422</v>
      </c>
      <c r="C188" t="s">
        <v>45</v>
      </c>
      <c r="D188" t="s">
        <v>50</v>
      </c>
      <c r="E188">
        <v>8</v>
      </c>
      <c r="F188" t="s">
        <v>65</v>
      </c>
      <c r="G188" t="s">
        <v>5</v>
      </c>
      <c r="H188" t="s">
        <v>6</v>
      </c>
      <c r="I188" t="s">
        <v>13</v>
      </c>
      <c r="J188">
        <v>0</v>
      </c>
    </row>
    <row r="189" spans="1:10" x14ac:dyDescent="0.4">
      <c r="A189" t="s">
        <v>423</v>
      </c>
      <c r="B189" t="s">
        <v>424</v>
      </c>
      <c r="C189" t="s">
        <v>45</v>
      </c>
      <c r="D189" t="s">
        <v>46</v>
      </c>
      <c r="E189">
        <v>6.17</v>
      </c>
      <c r="F189" t="s">
        <v>65</v>
      </c>
      <c r="G189" t="s">
        <v>5</v>
      </c>
      <c r="H189" t="s">
        <v>6</v>
      </c>
      <c r="I189" t="s">
        <v>13</v>
      </c>
      <c r="J189">
        <v>0</v>
      </c>
    </row>
    <row r="190" spans="1:10" x14ac:dyDescent="0.4">
      <c r="A190" t="s">
        <v>425</v>
      </c>
      <c r="B190" t="s">
        <v>426</v>
      </c>
      <c r="C190" t="s">
        <v>45</v>
      </c>
      <c r="D190" t="s">
        <v>46</v>
      </c>
      <c r="E190">
        <v>8</v>
      </c>
      <c r="F190" t="s">
        <v>65</v>
      </c>
      <c r="G190" t="s">
        <v>5</v>
      </c>
      <c r="H190" t="s">
        <v>6</v>
      </c>
      <c r="I190" t="s">
        <v>13</v>
      </c>
      <c r="J190">
        <v>0</v>
      </c>
    </row>
    <row r="191" spans="1:10" x14ac:dyDescent="0.4">
      <c r="A191" t="s">
        <v>427</v>
      </c>
      <c r="B191" t="s">
        <v>428</v>
      </c>
      <c r="C191" t="s">
        <v>45</v>
      </c>
      <c r="D191" t="s">
        <v>50</v>
      </c>
      <c r="E191">
        <v>7.17</v>
      </c>
      <c r="F191" t="s">
        <v>65</v>
      </c>
      <c r="G191" t="s">
        <v>5</v>
      </c>
      <c r="H191" t="s">
        <v>6</v>
      </c>
      <c r="I191" t="s">
        <v>13</v>
      </c>
      <c r="J191">
        <v>0</v>
      </c>
    </row>
    <row r="192" spans="1:10" x14ac:dyDescent="0.4">
      <c r="A192" t="s">
        <v>429</v>
      </c>
      <c r="B192" t="s">
        <v>430</v>
      </c>
      <c r="C192" t="s">
        <v>45</v>
      </c>
      <c r="D192" t="s">
        <v>46</v>
      </c>
      <c r="E192">
        <v>14.5</v>
      </c>
      <c r="F192" t="s">
        <v>47</v>
      </c>
      <c r="G192" t="s">
        <v>5</v>
      </c>
      <c r="H192" t="s">
        <v>6</v>
      </c>
      <c r="I192" t="s">
        <v>13</v>
      </c>
      <c r="J192">
        <v>0</v>
      </c>
    </row>
    <row r="193" spans="1:10" x14ac:dyDescent="0.4">
      <c r="A193" t="s">
        <v>431</v>
      </c>
      <c r="B193" t="s">
        <v>432</v>
      </c>
      <c r="C193" t="s">
        <v>45</v>
      </c>
      <c r="D193" t="s">
        <v>50</v>
      </c>
      <c r="E193">
        <v>15.17</v>
      </c>
      <c r="F193" t="s">
        <v>47</v>
      </c>
      <c r="G193" t="s">
        <v>5</v>
      </c>
      <c r="H193" t="s">
        <v>8</v>
      </c>
      <c r="I193" t="s">
        <v>19</v>
      </c>
      <c r="J193">
        <v>0</v>
      </c>
    </row>
    <row r="194" spans="1:10" x14ac:dyDescent="0.4">
      <c r="A194" t="s">
        <v>433</v>
      </c>
      <c r="B194" t="s">
        <v>434</v>
      </c>
      <c r="C194" t="s">
        <v>45</v>
      </c>
      <c r="D194" t="s">
        <v>46</v>
      </c>
      <c r="E194">
        <v>15.25</v>
      </c>
      <c r="F194" t="s">
        <v>47</v>
      </c>
      <c r="G194" t="s">
        <v>5</v>
      </c>
      <c r="H194" t="s">
        <v>6</v>
      </c>
      <c r="I194" t="s">
        <v>13</v>
      </c>
      <c r="J194">
        <v>1</v>
      </c>
    </row>
    <row r="195" spans="1:10" x14ac:dyDescent="0.4">
      <c r="A195" t="s">
        <v>435</v>
      </c>
      <c r="B195" t="s">
        <v>436</v>
      </c>
      <c r="C195" t="s">
        <v>45</v>
      </c>
      <c r="D195" t="s">
        <v>46</v>
      </c>
      <c r="E195">
        <v>9.5</v>
      </c>
      <c r="F195" t="s">
        <v>65</v>
      </c>
      <c r="G195" t="s">
        <v>5</v>
      </c>
      <c r="H195" t="s">
        <v>8</v>
      </c>
      <c r="I195" t="s">
        <v>17</v>
      </c>
      <c r="J195">
        <v>0</v>
      </c>
    </row>
    <row r="196" spans="1:10" x14ac:dyDescent="0.4">
      <c r="A196" t="s">
        <v>437</v>
      </c>
      <c r="B196" t="s">
        <v>438</v>
      </c>
      <c r="C196" t="s">
        <v>45</v>
      </c>
      <c r="D196" t="s">
        <v>50</v>
      </c>
      <c r="E196">
        <v>14.33</v>
      </c>
      <c r="F196" t="s">
        <v>47</v>
      </c>
      <c r="G196" t="s">
        <v>5</v>
      </c>
      <c r="H196" t="s">
        <v>8</v>
      </c>
      <c r="I196" t="s">
        <v>17</v>
      </c>
      <c r="J196">
        <v>0</v>
      </c>
    </row>
    <row r="197" spans="1:10" x14ac:dyDescent="0.4">
      <c r="A197" t="s">
        <v>439</v>
      </c>
      <c r="B197" t="s">
        <v>440</v>
      </c>
      <c r="C197" t="s">
        <v>45</v>
      </c>
      <c r="D197" t="s">
        <v>46</v>
      </c>
      <c r="E197">
        <v>13.92</v>
      </c>
      <c r="F197" t="s">
        <v>47</v>
      </c>
      <c r="G197" t="s">
        <v>5</v>
      </c>
      <c r="H197" t="s">
        <v>6</v>
      </c>
      <c r="I197" t="s">
        <v>13</v>
      </c>
      <c r="J197">
        <v>1</v>
      </c>
    </row>
    <row r="198" spans="1:10" x14ac:dyDescent="0.4">
      <c r="A198" t="s">
        <v>441</v>
      </c>
      <c r="B198" t="s">
        <v>442</v>
      </c>
      <c r="C198" t="s">
        <v>45</v>
      </c>
      <c r="D198" t="s">
        <v>50</v>
      </c>
      <c r="E198">
        <v>11.25</v>
      </c>
      <c r="F198" t="s">
        <v>47</v>
      </c>
      <c r="G198" t="s">
        <v>5</v>
      </c>
      <c r="H198" t="s">
        <v>6</v>
      </c>
      <c r="I198" t="s">
        <v>13</v>
      </c>
      <c r="J198">
        <v>0</v>
      </c>
    </row>
    <row r="199" spans="1:10" x14ac:dyDescent="0.4">
      <c r="A199" t="s">
        <v>443</v>
      </c>
      <c r="B199" t="s">
        <v>444</v>
      </c>
      <c r="C199" t="s">
        <v>45</v>
      </c>
      <c r="D199" t="s">
        <v>50</v>
      </c>
      <c r="E199">
        <v>13.75</v>
      </c>
      <c r="F199" t="s">
        <v>47</v>
      </c>
      <c r="G199" t="s">
        <v>5</v>
      </c>
      <c r="H199" t="s">
        <v>8</v>
      </c>
      <c r="I199" t="s">
        <v>17</v>
      </c>
      <c r="J199">
        <v>0</v>
      </c>
    </row>
    <row r="200" spans="1:10" x14ac:dyDescent="0.4">
      <c r="A200" t="s">
        <v>445</v>
      </c>
      <c r="B200" t="s">
        <v>446</v>
      </c>
      <c r="C200" t="s">
        <v>45</v>
      </c>
      <c r="D200" t="s">
        <v>46</v>
      </c>
      <c r="E200">
        <v>14.33</v>
      </c>
      <c r="F200" t="s">
        <v>47</v>
      </c>
      <c r="G200" t="s">
        <v>5</v>
      </c>
      <c r="H200" t="s">
        <v>6</v>
      </c>
      <c r="I200" t="s">
        <v>13</v>
      </c>
      <c r="J200">
        <v>1</v>
      </c>
    </row>
    <row r="201" spans="1:10" x14ac:dyDescent="0.4">
      <c r="A201" t="s">
        <v>447</v>
      </c>
      <c r="B201" t="s">
        <v>448</v>
      </c>
      <c r="C201" t="s">
        <v>45</v>
      </c>
      <c r="D201" t="s">
        <v>46</v>
      </c>
      <c r="E201">
        <v>15.58</v>
      </c>
      <c r="F201" t="s">
        <v>47</v>
      </c>
      <c r="G201" t="s">
        <v>5</v>
      </c>
      <c r="H201" t="s">
        <v>6</v>
      </c>
      <c r="I201" t="s">
        <v>13</v>
      </c>
      <c r="J201">
        <v>0</v>
      </c>
    </row>
    <row r="202" spans="1:10" x14ac:dyDescent="0.4">
      <c r="A202" t="s">
        <v>449</v>
      </c>
      <c r="B202" t="s">
        <v>450</v>
      </c>
      <c r="C202" t="s">
        <v>45</v>
      </c>
      <c r="D202" t="s">
        <v>46</v>
      </c>
      <c r="E202">
        <v>15</v>
      </c>
      <c r="F202" t="s">
        <v>47</v>
      </c>
      <c r="G202" t="s">
        <v>5</v>
      </c>
      <c r="H202" t="s">
        <v>6</v>
      </c>
      <c r="I202" t="s">
        <v>13</v>
      </c>
      <c r="J202">
        <v>0</v>
      </c>
    </row>
    <row r="203" spans="1:10" x14ac:dyDescent="0.4">
      <c r="A203" t="s">
        <v>451</v>
      </c>
      <c r="B203" t="s">
        <v>452</v>
      </c>
      <c r="C203" t="s">
        <v>45</v>
      </c>
      <c r="D203" t="s">
        <v>46</v>
      </c>
      <c r="E203">
        <v>14.75</v>
      </c>
      <c r="F203" t="s">
        <v>47</v>
      </c>
      <c r="G203" t="s">
        <v>5</v>
      </c>
      <c r="H203" t="s">
        <v>6</v>
      </c>
      <c r="I203" t="s">
        <v>13</v>
      </c>
      <c r="J203">
        <v>1</v>
      </c>
    </row>
    <row r="204" spans="1:10" x14ac:dyDescent="0.4">
      <c r="A204" t="s">
        <v>453</v>
      </c>
      <c r="B204" t="s">
        <v>454</v>
      </c>
      <c r="C204" t="s">
        <v>45</v>
      </c>
      <c r="D204" t="s">
        <v>50</v>
      </c>
      <c r="E204">
        <v>16.829999999999998</v>
      </c>
      <c r="F204" t="s">
        <v>47</v>
      </c>
      <c r="G204" t="s">
        <v>5</v>
      </c>
      <c r="H204" t="s">
        <v>6</v>
      </c>
      <c r="I204" t="s">
        <v>13</v>
      </c>
      <c r="J204">
        <v>1</v>
      </c>
    </row>
    <row r="205" spans="1:10" x14ac:dyDescent="0.4">
      <c r="A205" t="s">
        <v>455</v>
      </c>
      <c r="B205" t="s">
        <v>456</v>
      </c>
      <c r="C205" t="s">
        <v>45</v>
      </c>
      <c r="D205" t="s">
        <v>46</v>
      </c>
      <c r="E205">
        <v>16.920000000000002</v>
      </c>
      <c r="F205" t="s">
        <v>47</v>
      </c>
      <c r="G205" t="s">
        <v>5</v>
      </c>
      <c r="H205" t="s">
        <v>6</v>
      </c>
      <c r="I205" t="s">
        <v>13</v>
      </c>
      <c r="J205">
        <v>0</v>
      </c>
    </row>
    <row r="206" spans="1:10" x14ac:dyDescent="0.4">
      <c r="A206" t="s">
        <v>457</v>
      </c>
      <c r="B206" t="s">
        <v>458</v>
      </c>
      <c r="C206" t="s">
        <v>45</v>
      </c>
      <c r="D206" t="s">
        <v>46</v>
      </c>
      <c r="E206">
        <v>15.42</v>
      </c>
      <c r="F206" t="s">
        <v>47</v>
      </c>
      <c r="G206" t="s">
        <v>5</v>
      </c>
      <c r="H206" t="s">
        <v>6</v>
      </c>
      <c r="I206" t="s">
        <v>13</v>
      </c>
      <c r="J206">
        <v>0</v>
      </c>
    </row>
    <row r="207" spans="1:10" x14ac:dyDescent="0.4">
      <c r="A207" t="s">
        <v>459</v>
      </c>
      <c r="B207" t="s">
        <v>460</v>
      </c>
      <c r="C207" t="s">
        <v>45</v>
      </c>
      <c r="D207" t="s">
        <v>46</v>
      </c>
      <c r="E207">
        <v>15.33</v>
      </c>
      <c r="F207" t="s">
        <v>47</v>
      </c>
      <c r="G207" t="s">
        <v>5</v>
      </c>
      <c r="H207" t="s">
        <v>8</v>
      </c>
      <c r="I207" t="s">
        <v>17</v>
      </c>
      <c r="J207">
        <v>0</v>
      </c>
    </row>
    <row r="208" spans="1:10" x14ac:dyDescent="0.4">
      <c r="A208" t="s">
        <v>461</v>
      </c>
      <c r="B208" t="s">
        <v>462</v>
      </c>
      <c r="C208" t="s">
        <v>45</v>
      </c>
      <c r="D208" t="s">
        <v>50</v>
      </c>
      <c r="E208">
        <v>16.5</v>
      </c>
      <c r="F208" t="s">
        <v>47</v>
      </c>
      <c r="G208" t="s">
        <v>5</v>
      </c>
      <c r="H208" t="s">
        <v>6</v>
      </c>
      <c r="I208" t="s">
        <v>13</v>
      </c>
      <c r="J208">
        <v>0</v>
      </c>
    </row>
    <row r="209" spans="1:10" x14ac:dyDescent="0.4">
      <c r="A209" t="s">
        <v>463</v>
      </c>
      <c r="B209" t="s">
        <v>464</v>
      </c>
      <c r="C209" t="s">
        <v>45</v>
      </c>
      <c r="D209" t="s">
        <v>50</v>
      </c>
      <c r="E209">
        <v>12.75</v>
      </c>
      <c r="F209" t="s">
        <v>47</v>
      </c>
      <c r="G209" t="s">
        <v>5</v>
      </c>
      <c r="H209" t="s">
        <v>6</v>
      </c>
      <c r="I209" t="s">
        <v>13</v>
      </c>
      <c r="J209">
        <v>0</v>
      </c>
    </row>
    <row r="210" spans="1:10" x14ac:dyDescent="0.4">
      <c r="A210" t="s">
        <v>465</v>
      </c>
      <c r="B210" t="s">
        <v>466</v>
      </c>
      <c r="C210" t="s">
        <v>45</v>
      </c>
      <c r="D210" t="s">
        <v>50</v>
      </c>
      <c r="E210">
        <v>11.17</v>
      </c>
      <c r="F210" t="s">
        <v>47</v>
      </c>
      <c r="G210" t="s">
        <v>5</v>
      </c>
      <c r="H210" t="s">
        <v>6</v>
      </c>
      <c r="I210" t="s">
        <v>13</v>
      </c>
      <c r="J210">
        <v>0</v>
      </c>
    </row>
    <row r="211" spans="1:10" x14ac:dyDescent="0.4">
      <c r="A211" t="s">
        <v>467</v>
      </c>
      <c r="B211" t="s">
        <v>468</v>
      </c>
      <c r="C211" t="s">
        <v>45</v>
      </c>
      <c r="D211" t="s">
        <v>50</v>
      </c>
      <c r="E211">
        <v>15.33</v>
      </c>
      <c r="F211" t="s">
        <v>47</v>
      </c>
      <c r="G211" t="s">
        <v>5</v>
      </c>
      <c r="H211" t="s">
        <v>6</v>
      </c>
      <c r="I211" t="s">
        <v>13</v>
      </c>
      <c r="J211">
        <v>0</v>
      </c>
    </row>
    <row r="212" spans="1:10" x14ac:dyDescent="0.4">
      <c r="A212" t="s">
        <v>469</v>
      </c>
      <c r="B212" t="s">
        <v>470</v>
      </c>
      <c r="C212" t="s">
        <v>45</v>
      </c>
      <c r="D212" t="s">
        <v>50</v>
      </c>
      <c r="E212">
        <v>15</v>
      </c>
      <c r="F212" t="s">
        <v>47</v>
      </c>
      <c r="G212" t="s">
        <v>5</v>
      </c>
      <c r="H212" t="s">
        <v>6</v>
      </c>
      <c r="I212" t="s">
        <v>13</v>
      </c>
      <c r="J212">
        <v>0</v>
      </c>
    </row>
    <row r="213" spans="1:10" x14ac:dyDescent="0.4">
      <c r="A213" t="s">
        <v>471</v>
      </c>
      <c r="B213" t="s">
        <v>472</v>
      </c>
      <c r="C213" t="s">
        <v>45</v>
      </c>
      <c r="D213" t="s">
        <v>46</v>
      </c>
      <c r="E213">
        <v>12</v>
      </c>
      <c r="F213" t="s">
        <v>47</v>
      </c>
      <c r="G213" t="s">
        <v>5</v>
      </c>
      <c r="H213" t="s">
        <v>6</v>
      </c>
      <c r="I213" t="s">
        <v>13</v>
      </c>
      <c r="J213">
        <v>1</v>
      </c>
    </row>
    <row r="214" spans="1:10" x14ac:dyDescent="0.4">
      <c r="A214" t="s">
        <v>473</v>
      </c>
      <c r="B214" t="s">
        <v>474</v>
      </c>
      <c r="C214" t="s">
        <v>45</v>
      </c>
      <c r="D214" t="s">
        <v>46</v>
      </c>
      <c r="E214">
        <v>16.25</v>
      </c>
      <c r="F214" t="s">
        <v>47</v>
      </c>
      <c r="G214" t="s">
        <v>5</v>
      </c>
      <c r="H214" t="s">
        <v>6</v>
      </c>
      <c r="I214" t="s">
        <v>13</v>
      </c>
      <c r="J214">
        <v>1</v>
      </c>
    </row>
    <row r="215" spans="1:10" x14ac:dyDescent="0.4">
      <c r="A215" t="s">
        <v>475</v>
      </c>
      <c r="B215" t="s">
        <v>476</v>
      </c>
      <c r="C215" t="s">
        <v>45</v>
      </c>
      <c r="D215" t="s">
        <v>46</v>
      </c>
      <c r="E215">
        <v>15.58</v>
      </c>
      <c r="F215" t="s">
        <v>47</v>
      </c>
      <c r="G215" t="s">
        <v>5</v>
      </c>
      <c r="H215" t="s">
        <v>6</v>
      </c>
      <c r="I215" t="s">
        <v>13</v>
      </c>
      <c r="J215">
        <v>0</v>
      </c>
    </row>
    <row r="216" spans="1:10" x14ac:dyDescent="0.4">
      <c r="A216" t="s">
        <v>477</v>
      </c>
      <c r="B216" t="s">
        <v>478</v>
      </c>
      <c r="C216" t="s">
        <v>45</v>
      </c>
      <c r="D216" t="s">
        <v>50</v>
      </c>
      <c r="E216">
        <v>13.83</v>
      </c>
      <c r="F216" t="s">
        <v>47</v>
      </c>
      <c r="G216" t="s">
        <v>5</v>
      </c>
      <c r="H216" t="s">
        <v>8</v>
      </c>
      <c r="I216" t="s">
        <v>17</v>
      </c>
      <c r="J216">
        <v>0</v>
      </c>
    </row>
    <row r="217" spans="1:10" x14ac:dyDescent="0.4">
      <c r="A217" t="s">
        <v>479</v>
      </c>
      <c r="B217" t="s">
        <v>480</v>
      </c>
      <c r="C217" t="s">
        <v>45</v>
      </c>
      <c r="D217" t="s">
        <v>50</v>
      </c>
      <c r="E217">
        <v>12.42</v>
      </c>
      <c r="F217" t="s">
        <v>47</v>
      </c>
      <c r="G217" t="s">
        <v>5</v>
      </c>
      <c r="H217" t="s">
        <v>6</v>
      </c>
      <c r="I217" t="s">
        <v>13</v>
      </c>
      <c r="J217">
        <v>1</v>
      </c>
    </row>
    <row r="218" spans="1:10" x14ac:dyDescent="0.4">
      <c r="A218" t="s">
        <v>481</v>
      </c>
      <c r="B218" t="s">
        <v>482</v>
      </c>
      <c r="C218" t="s">
        <v>45</v>
      </c>
      <c r="D218" t="s">
        <v>50</v>
      </c>
      <c r="E218">
        <v>11.92</v>
      </c>
      <c r="F218" t="s">
        <v>47</v>
      </c>
      <c r="G218" t="s">
        <v>5</v>
      </c>
      <c r="H218" t="s">
        <v>6</v>
      </c>
      <c r="I218" t="s">
        <v>13</v>
      </c>
      <c r="J218">
        <v>1</v>
      </c>
    </row>
    <row r="219" spans="1:10" x14ac:dyDescent="0.4">
      <c r="A219" t="s">
        <v>483</v>
      </c>
      <c r="B219" t="s">
        <v>484</v>
      </c>
      <c r="C219" t="s">
        <v>45</v>
      </c>
      <c r="D219" t="s">
        <v>46</v>
      </c>
      <c r="E219">
        <v>15.83</v>
      </c>
      <c r="F219" t="s">
        <v>47</v>
      </c>
      <c r="G219" t="s">
        <v>5</v>
      </c>
      <c r="H219" t="s">
        <v>6</v>
      </c>
      <c r="I219" t="s">
        <v>13</v>
      </c>
      <c r="J219">
        <v>1</v>
      </c>
    </row>
    <row r="220" spans="1:10" x14ac:dyDescent="0.4">
      <c r="A220" t="s">
        <v>485</v>
      </c>
      <c r="B220" t="s">
        <v>486</v>
      </c>
      <c r="C220" t="s">
        <v>45</v>
      </c>
      <c r="D220" t="s">
        <v>50</v>
      </c>
      <c r="E220">
        <v>13.58</v>
      </c>
      <c r="F220" t="s">
        <v>47</v>
      </c>
      <c r="G220" t="s">
        <v>5</v>
      </c>
      <c r="H220" t="s">
        <v>6</v>
      </c>
      <c r="I220" t="s">
        <v>13</v>
      </c>
      <c r="J220">
        <v>1</v>
      </c>
    </row>
    <row r="221" spans="1:10" x14ac:dyDescent="0.4">
      <c r="A221" t="s">
        <v>487</v>
      </c>
      <c r="B221" t="s">
        <v>488</v>
      </c>
      <c r="C221" t="s">
        <v>45</v>
      </c>
      <c r="D221" t="s">
        <v>50</v>
      </c>
      <c r="E221">
        <v>12.67</v>
      </c>
      <c r="F221" t="s">
        <v>47</v>
      </c>
      <c r="G221" t="s">
        <v>5</v>
      </c>
      <c r="H221" t="s">
        <v>8</v>
      </c>
      <c r="I221" t="s">
        <v>17</v>
      </c>
      <c r="J221">
        <v>0</v>
      </c>
    </row>
    <row r="222" spans="1:10" x14ac:dyDescent="0.4">
      <c r="A222" t="s">
        <v>489</v>
      </c>
      <c r="B222" t="s">
        <v>490</v>
      </c>
      <c r="C222" t="s">
        <v>45</v>
      </c>
      <c r="D222" t="s">
        <v>46</v>
      </c>
      <c r="E222">
        <v>10.75</v>
      </c>
      <c r="F222" t="s">
        <v>47</v>
      </c>
      <c r="G222" t="s">
        <v>5</v>
      </c>
      <c r="H222" t="s">
        <v>6</v>
      </c>
      <c r="I222" t="s">
        <v>13</v>
      </c>
      <c r="J222">
        <v>0</v>
      </c>
    </row>
    <row r="223" spans="1:10" x14ac:dyDescent="0.4">
      <c r="A223" t="s">
        <v>491</v>
      </c>
      <c r="B223" t="s">
        <v>492</v>
      </c>
      <c r="C223" t="s">
        <v>45</v>
      </c>
      <c r="D223" t="s">
        <v>46</v>
      </c>
      <c r="E223">
        <v>16.5</v>
      </c>
      <c r="F223" t="s">
        <v>47</v>
      </c>
      <c r="G223" t="s">
        <v>5</v>
      </c>
      <c r="H223" t="s">
        <v>6</v>
      </c>
      <c r="I223" t="s">
        <v>13</v>
      </c>
      <c r="J223">
        <v>0</v>
      </c>
    </row>
    <row r="224" spans="1:10" x14ac:dyDescent="0.4">
      <c r="A224" t="s">
        <v>493</v>
      </c>
      <c r="B224" t="s">
        <v>494</v>
      </c>
      <c r="C224" t="s">
        <v>45</v>
      </c>
      <c r="D224" t="s">
        <v>46</v>
      </c>
      <c r="E224">
        <v>10.67</v>
      </c>
      <c r="F224" t="s">
        <v>47</v>
      </c>
      <c r="G224" t="s">
        <v>5</v>
      </c>
      <c r="H224" t="s">
        <v>6</v>
      </c>
      <c r="I224" t="s">
        <v>13</v>
      </c>
      <c r="J224">
        <v>1</v>
      </c>
    </row>
    <row r="225" spans="1:10" x14ac:dyDescent="0.4">
      <c r="A225" t="s">
        <v>495</v>
      </c>
      <c r="B225" t="s">
        <v>496</v>
      </c>
      <c r="C225" t="s">
        <v>45</v>
      </c>
      <c r="D225" t="s">
        <v>50</v>
      </c>
      <c r="E225">
        <v>12.08</v>
      </c>
      <c r="F225" t="s">
        <v>47</v>
      </c>
      <c r="G225" t="s">
        <v>5</v>
      </c>
      <c r="H225" t="s">
        <v>6</v>
      </c>
      <c r="I225" t="s">
        <v>13</v>
      </c>
      <c r="J225">
        <v>0</v>
      </c>
    </row>
    <row r="226" spans="1:10" x14ac:dyDescent="0.4">
      <c r="A226" t="s">
        <v>497</v>
      </c>
      <c r="B226" t="s">
        <v>498</v>
      </c>
      <c r="C226" t="s">
        <v>45</v>
      </c>
      <c r="D226" t="s">
        <v>46</v>
      </c>
      <c r="E226">
        <v>15.42</v>
      </c>
      <c r="F226" t="s">
        <v>47</v>
      </c>
      <c r="G226" t="s">
        <v>5</v>
      </c>
      <c r="H226" t="s">
        <v>6</v>
      </c>
      <c r="I226" t="s">
        <v>13</v>
      </c>
      <c r="J226">
        <v>0</v>
      </c>
    </row>
    <row r="227" spans="1:10" x14ac:dyDescent="0.4">
      <c r="A227" t="s">
        <v>499</v>
      </c>
      <c r="B227" t="s">
        <v>500</v>
      </c>
      <c r="C227" t="s">
        <v>45</v>
      </c>
      <c r="D227" t="s">
        <v>46</v>
      </c>
      <c r="E227">
        <v>11.92</v>
      </c>
      <c r="F227" t="s">
        <v>47</v>
      </c>
      <c r="G227" t="s">
        <v>7</v>
      </c>
      <c r="H227" t="s">
        <v>7</v>
      </c>
      <c r="I227" t="s">
        <v>18</v>
      </c>
      <c r="J227" t="s">
        <v>18</v>
      </c>
    </row>
    <row r="228" spans="1:10" x14ac:dyDescent="0.4">
      <c r="A228" t="s">
        <v>501</v>
      </c>
      <c r="B228" t="s">
        <v>502</v>
      </c>
      <c r="C228" t="s">
        <v>45</v>
      </c>
      <c r="D228" t="s">
        <v>50</v>
      </c>
      <c r="E228">
        <v>13.17</v>
      </c>
      <c r="F228" t="s">
        <v>47</v>
      </c>
      <c r="G228" t="s">
        <v>5</v>
      </c>
      <c r="H228" t="s">
        <v>6</v>
      </c>
      <c r="I228" t="s">
        <v>13</v>
      </c>
      <c r="J228">
        <v>0</v>
      </c>
    </row>
    <row r="229" spans="1:10" x14ac:dyDescent="0.4">
      <c r="A229" t="s">
        <v>503</v>
      </c>
      <c r="B229" t="s">
        <v>504</v>
      </c>
      <c r="C229" t="s">
        <v>45</v>
      </c>
      <c r="D229" t="s">
        <v>50</v>
      </c>
      <c r="E229">
        <v>10.83</v>
      </c>
      <c r="F229" t="s">
        <v>47</v>
      </c>
      <c r="G229" t="s">
        <v>5</v>
      </c>
      <c r="H229" t="s">
        <v>6</v>
      </c>
      <c r="I229" t="s">
        <v>13</v>
      </c>
      <c r="J229">
        <v>0</v>
      </c>
    </row>
    <row r="230" spans="1:10" x14ac:dyDescent="0.4">
      <c r="A230" t="s">
        <v>505</v>
      </c>
      <c r="B230" t="s">
        <v>506</v>
      </c>
      <c r="C230" t="s">
        <v>45</v>
      </c>
      <c r="D230" t="s">
        <v>50</v>
      </c>
      <c r="E230">
        <v>15.5</v>
      </c>
      <c r="F230" t="s">
        <v>47</v>
      </c>
      <c r="G230" t="s">
        <v>5</v>
      </c>
      <c r="H230" t="s">
        <v>6</v>
      </c>
      <c r="I230" t="s">
        <v>13</v>
      </c>
      <c r="J230">
        <v>1</v>
      </c>
    </row>
    <row r="231" spans="1:10" x14ac:dyDescent="0.4">
      <c r="A231" t="s">
        <v>507</v>
      </c>
      <c r="B231" t="s">
        <v>508</v>
      </c>
      <c r="C231" t="s">
        <v>45</v>
      </c>
      <c r="D231" t="s">
        <v>50</v>
      </c>
      <c r="E231">
        <v>16.75</v>
      </c>
      <c r="F231" t="s">
        <v>47</v>
      </c>
      <c r="G231" t="s">
        <v>5</v>
      </c>
      <c r="H231" t="s">
        <v>6</v>
      </c>
      <c r="I231" t="s">
        <v>13</v>
      </c>
      <c r="J231">
        <v>1</v>
      </c>
    </row>
    <row r="232" spans="1:10" x14ac:dyDescent="0.4">
      <c r="A232" t="s">
        <v>509</v>
      </c>
      <c r="B232" t="s">
        <v>510</v>
      </c>
      <c r="C232" t="s">
        <v>45</v>
      </c>
      <c r="D232" t="s">
        <v>46</v>
      </c>
      <c r="E232">
        <v>10.17</v>
      </c>
      <c r="F232" t="s">
        <v>47</v>
      </c>
      <c r="G232" t="s">
        <v>5</v>
      </c>
      <c r="H232" t="s">
        <v>6</v>
      </c>
      <c r="I232" t="s">
        <v>13</v>
      </c>
      <c r="J232">
        <v>1</v>
      </c>
    </row>
    <row r="233" spans="1:10" x14ac:dyDescent="0.4">
      <c r="A233" t="s">
        <v>511</v>
      </c>
      <c r="B233" t="s">
        <v>512</v>
      </c>
      <c r="C233" t="s">
        <v>45</v>
      </c>
      <c r="D233" t="s">
        <v>50</v>
      </c>
      <c r="E233">
        <v>8.5</v>
      </c>
      <c r="F233" t="s">
        <v>65</v>
      </c>
      <c r="G233" t="s">
        <v>7</v>
      </c>
      <c r="H233" t="s">
        <v>7</v>
      </c>
      <c r="I233" t="s">
        <v>18</v>
      </c>
      <c r="J233" t="s">
        <v>18</v>
      </c>
    </row>
    <row r="234" spans="1:10" x14ac:dyDescent="0.4">
      <c r="A234" t="s">
        <v>513</v>
      </c>
      <c r="B234" t="s">
        <v>514</v>
      </c>
      <c r="C234" t="s">
        <v>45</v>
      </c>
      <c r="D234" t="s">
        <v>50</v>
      </c>
      <c r="E234">
        <v>14</v>
      </c>
      <c r="F234" t="s">
        <v>47</v>
      </c>
      <c r="G234" t="s">
        <v>7</v>
      </c>
      <c r="H234" t="s">
        <v>7</v>
      </c>
      <c r="I234" t="s">
        <v>18</v>
      </c>
      <c r="J234" t="s">
        <v>18</v>
      </c>
    </row>
    <row r="235" spans="1:10" x14ac:dyDescent="0.4">
      <c r="A235" t="s">
        <v>515</v>
      </c>
      <c r="B235" t="s">
        <v>516</v>
      </c>
      <c r="C235" t="s">
        <v>45</v>
      </c>
      <c r="D235" t="s">
        <v>50</v>
      </c>
      <c r="E235">
        <v>13.75</v>
      </c>
      <c r="F235" t="s">
        <v>47</v>
      </c>
      <c r="G235" t="s">
        <v>7</v>
      </c>
      <c r="H235" t="s">
        <v>7</v>
      </c>
      <c r="I235" t="s">
        <v>18</v>
      </c>
      <c r="J235" t="s">
        <v>18</v>
      </c>
    </row>
    <row r="236" spans="1:10" x14ac:dyDescent="0.4">
      <c r="A236" t="s">
        <v>517</v>
      </c>
      <c r="B236" t="s">
        <v>518</v>
      </c>
      <c r="C236" t="s">
        <v>45</v>
      </c>
      <c r="D236" t="s">
        <v>46</v>
      </c>
      <c r="E236">
        <v>16.579999999999998</v>
      </c>
      <c r="F236" t="s">
        <v>47</v>
      </c>
      <c r="G236" t="s">
        <v>7</v>
      </c>
      <c r="H236" t="s">
        <v>7</v>
      </c>
      <c r="I236" t="s">
        <v>18</v>
      </c>
      <c r="J236" t="s">
        <v>18</v>
      </c>
    </row>
    <row r="237" spans="1:10" x14ac:dyDescent="0.4">
      <c r="A237" t="s">
        <v>519</v>
      </c>
      <c r="B237" t="s">
        <v>520</v>
      </c>
      <c r="C237" t="s">
        <v>45</v>
      </c>
      <c r="D237" t="s">
        <v>46</v>
      </c>
      <c r="E237">
        <v>12.42</v>
      </c>
      <c r="F237" t="s">
        <v>47</v>
      </c>
      <c r="G237" t="s">
        <v>5</v>
      </c>
      <c r="H237" t="s">
        <v>6</v>
      </c>
      <c r="I237" t="s">
        <v>13</v>
      </c>
      <c r="J237">
        <v>1</v>
      </c>
    </row>
    <row r="238" spans="1:10" x14ac:dyDescent="0.4">
      <c r="A238" t="s">
        <v>521</v>
      </c>
      <c r="B238" t="s">
        <v>522</v>
      </c>
      <c r="C238" t="s">
        <v>45</v>
      </c>
      <c r="D238" t="s">
        <v>50</v>
      </c>
      <c r="E238">
        <v>12.58</v>
      </c>
      <c r="F238" t="s">
        <v>47</v>
      </c>
      <c r="G238" t="s">
        <v>5</v>
      </c>
      <c r="H238" t="s">
        <v>6</v>
      </c>
      <c r="I238" t="s">
        <v>13</v>
      </c>
      <c r="J238">
        <v>0</v>
      </c>
    </row>
    <row r="239" spans="1:10" x14ac:dyDescent="0.4">
      <c r="A239" t="s">
        <v>523</v>
      </c>
      <c r="B239" t="s">
        <v>524</v>
      </c>
      <c r="C239" t="s">
        <v>45</v>
      </c>
      <c r="D239" t="s">
        <v>50</v>
      </c>
      <c r="E239">
        <v>5.75</v>
      </c>
      <c r="F239" t="s">
        <v>65</v>
      </c>
      <c r="G239" t="s">
        <v>7</v>
      </c>
      <c r="H239" t="s">
        <v>7</v>
      </c>
      <c r="I239" t="s">
        <v>18</v>
      </c>
      <c r="J239" t="s">
        <v>18</v>
      </c>
    </row>
    <row r="240" spans="1:10" x14ac:dyDescent="0.4">
      <c r="A240" t="s">
        <v>525</v>
      </c>
      <c r="B240" t="s">
        <v>526</v>
      </c>
      <c r="C240" t="s">
        <v>45</v>
      </c>
      <c r="D240" t="s">
        <v>50</v>
      </c>
      <c r="E240">
        <v>15</v>
      </c>
      <c r="F240" t="s">
        <v>47</v>
      </c>
      <c r="G240" t="s">
        <v>7</v>
      </c>
      <c r="H240" t="s">
        <v>7</v>
      </c>
      <c r="I240" t="s">
        <v>18</v>
      </c>
      <c r="J240" t="s">
        <v>18</v>
      </c>
    </row>
    <row r="241" spans="1:10" x14ac:dyDescent="0.4">
      <c r="A241" t="s">
        <v>527</v>
      </c>
      <c r="B241" t="s">
        <v>528</v>
      </c>
      <c r="C241" t="s">
        <v>45</v>
      </c>
      <c r="D241" t="s">
        <v>46</v>
      </c>
      <c r="E241">
        <v>11.83</v>
      </c>
      <c r="F241" t="s">
        <v>47</v>
      </c>
      <c r="G241" t="s">
        <v>7</v>
      </c>
      <c r="H241" t="s">
        <v>7</v>
      </c>
      <c r="I241" t="s">
        <v>18</v>
      </c>
      <c r="J241" t="s">
        <v>18</v>
      </c>
    </row>
    <row r="242" spans="1:10" x14ac:dyDescent="0.4">
      <c r="A242" t="s">
        <v>529</v>
      </c>
      <c r="B242" t="s">
        <v>530</v>
      </c>
      <c r="C242" t="s">
        <v>45</v>
      </c>
      <c r="D242" t="s">
        <v>46</v>
      </c>
      <c r="E242">
        <v>12</v>
      </c>
      <c r="F242" t="s">
        <v>47</v>
      </c>
      <c r="G242" t="s">
        <v>7</v>
      </c>
      <c r="H242" t="s">
        <v>7</v>
      </c>
      <c r="I242" t="s">
        <v>18</v>
      </c>
      <c r="J242" t="s">
        <v>18</v>
      </c>
    </row>
    <row r="243" spans="1:10" x14ac:dyDescent="0.4">
      <c r="A243" t="s">
        <v>531</v>
      </c>
      <c r="B243" t="s">
        <v>532</v>
      </c>
      <c r="C243" t="s">
        <v>45</v>
      </c>
      <c r="D243" t="s">
        <v>50</v>
      </c>
      <c r="E243">
        <v>13.25</v>
      </c>
      <c r="F243" t="s">
        <v>47</v>
      </c>
      <c r="G243" t="s">
        <v>7</v>
      </c>
      <c r="H243" t="s">
        <v>7</v>
      </c>
      <c r="I243" t="s">
        <v>18</v>
      </c>
      <c r="J243" t="s">
        <v>18</v>
      </c>
    </row>
    <row r="244" spans="1:10" x14ac:dyDescent="0.4">
      <c r="A244" t="s">
        <v>533</v>
      </c>
      <c r="B244" t="s">
        <v>534</v>
      </c>
      <c r="C244" t="s">
        <v>45</v>
      </c>
      <c r="D244" t="s">
        <v>50</v>
      </c>
      <c r="E244">
        <v>11.58</v>
      </c>
      <c r="F244" t="s">
        <v>47</v>
      </c>
      <c r="G244" t="s">
        <v>7</v>
      </c>
      <c r="H244" t="s">
        <v>7</v>
      </c>
      <c r="I244" t="s">
        <v>18</v>
      </c>
      <c r="J244" t="s">
        <v>18</v>
      </c>
    </row>
    <row r="245" spans="1:10" x14ac:dyDescent="0.4">
      <c r="A245" t="s">
        <v>535</v>
      </c>
      <c r="B245" t="s">
        <v>536</v>
      </c>
      <c r="C245" t="s">
        <v>45</v>
      </c>
      <c r="D245" t="s">
        <v>46</v>
      </c>
      <c r="E245">
        <v>15.58</v>
      </c>
      <c r="F245" t="s">
        <v>47</v>
      </c>
      <c r="G245" t="s">
        <v>7</v>
      </c>
      <c r="H245" t="s">
        <v>7</v>
      </c>
      <c r="I245" t="s">
        <v>18</v>
      </c>
      <c r="J245" t="s">
        <v>18</v>
      </c>
    </row>
    <row r="246" spans="1:10" x14ac:dyDescent="0.4">
      <c r="A246" t="s">
        <v>537</v>
      </c>
      <c r="B246" t="s">
        <v>538</v>
      </c>
      <c r="C246" t="s">
        <v>45</v>
      </c>
      <c r="D246" t="s">
        <v>46</v>
      </c>
      <c r="E246">
        <v>14.92</v>
      </c>
      <c r="F246" t="s">
        <v>47</v>
      </c>
      <c r="G246" t="s">
        <v>7</v>
      </c>
      <c r="H246" t="s">
        <v>7</v>
      </c>
      <c r="I246" t="s">
        <v>18</v>
      </c>
      <c r="J246" t="s">
        <v>18</v>
      </c>
    </row>
    <row r="247" spans="1:10" x14ac:dyDescent="0.4">
      <c r="A247" t="s">
        <v>539</v>
      </c>
      <c r="B247" t="s">
        <v>540</v>
      </c>
      <c r="C247" t="s">
        <v>45</v>
      </c>
      <c r="D247" t="s">
        <v>50</v>
      </c>
      <c r="E247">
        <v>14.92</v>
      </c>
      <c r="F247" t="s">
        <v>47</v>
      </c>
      <c r="G247" t="s">
        <v>7</v>
      </c>
      <c r="H247" t="s">
        <v>7</v>
      </c>
      <c r="I247" t="s">
        <v>18</v>
      </c>
      <c r="J247" t="s">
        <v>18</v>
      </c>
    </row>
    <row r="248" spans="1:10" x14ac:dyDescent="0.4">
      <c r="A248" t="s">
        <v>541</v>
      </c>
      <c r="B248" t="s">
        <v>542</v>
      </c>
      <c r="C248" t="s">
        <v>45</v>
      </c>
      <c r="D248" t="s">
        <v>46</v>
      </c>
      <c r="E248">
        <v>6.33</v>
      </c>
      <c r="F248" t="s">
        <v>65</v>
      </c>
      <c r="G248" t="s">
        <v>7</v>
      </c>
      <c r="H248" t="s">
        <v>7</v>
      </c>
      <c r="I248" t="s">
        <v>18</v>
      </c>
      <c r="J248" t="s">
        <v>18</v>
      </c>
    </row>
    <row r="249" spans="1:10" x14ac:dyDescent="0.4">
      <c r="A249" t="s">
        <v>543</v>
      </c>
      <c r="B249" t="s">
        <v>544</v>
      </c>
      <c r="C249" t="s">
        <v>45</v>
      </c>
      <c r="D249" t="s">
        <v>46</v>
      </c>
      <c r="E249">
        <v>13.67</v>
      </c>
      <c r="F249" t="s">
        <v>47</v>
      </c>
      <c r="G249" t="s">
        <v>7</v>
      </c>
      <c r="H249" t="s">
        <v>7</v>
      </c>
      <c r="I249" t="s">
        <v>18</v>
      </c>
      <c r="J249" t="s">
        <v>18</v>
      </c>
    </row>
    <row r="250" spans="1:10" x14ac:dyDescent="0.4">
      <c r="A250" t="s">
        <v>545</v>
      </c>
      <c r="B250" t="s">
        <v>546</v>
      </c>
      <c r="C250" t="s">
        <v>45</v>
      </c>
      <c r="D250" t="s">
        <v>46</v>
      </c>
      <c r="E250">
        <v>16.920000000000002</v>
      </c>
      <c r="F250" t="s">
        <v>47</v>
      </c>
      <c r="G250" t="s">
        <v>7</v>
      </c>
      <c r="H250" t="s">
        <v>7</v>
      </c>
      <c r="I250" t="s">
        <v>18</v>
      </c>
      <c r="J250" t="s">
        <v>18</v>
      </c>
    </row>
    <row r="251" spans="1:10" x14ac:dyDescent="0.4">
      <c r="A251" t="s">
        <v>547</v>
      </c>
      <c r="B251" t="s">
        <v>548</v>
      </c>
      <c r="C251" t="s">
        <v>45</v>
      </c>
      <c r="D251" t="s">
        <v>50</v>
      </c>
      <c r="E251">
        <v>6.92</v>
      </c>
      <c r="F251" t="s">
        <v>65</v>
      </c>
      <c r="G251" t="s">
        <v>7</v>
      </c>
      <c r="H251" t="s">
        <v>7</v>
      </c>
      <c r="I251" t="s">
        <v>18</v>
      </c>
      <c r="J251" t="s">
        <v>18</v>
      </c>
    </row>
    <row r="252" spans="1:10" x14ac:dyDescent="0.4">
      <c r="A252" t="s">
        <v>549</v>
      </c>
      <c r="B252" t="s">
        <v>550</v>
      </c>
      <c r="C252" t="s">
        <v>45</v>
      </c>
      <c r="D252" t="s">
        <v>46</v>
      </c>
      <c r="E252">
        <v>16.829999999999998</v>
      </c>
      <c r="F252" t="s">
        <v>47</v>
      </c>
      <c r="G252" t="s">
        <v>7</v>
      </c>
      <c r="H252" t="s">
        <v>7</v>
      </c>
      <c r="I252" t="s">
        <v>18</v>
      </c>
      <c r="J252" t="s">
        <v>18</v>
      </c>
    </row>
    <row r="253" spans="1:10" x14ac:dyDescent="0.4">
      <c r="A253" t="s">
        <v>551</v>
      </c>
      <c r="B253" t="s">
        <v>552</v>
      </c>
      <c r="C253" t="s">
        <v>45</v>
      </c>
      <c r="D253" t="s">
        <v>46</v>
      </c>
      <c r="E253">
        <v>14.92</v>
      </c>
      <c r="F253" t="s">
        <v>47</v>
      </c>
      <c r="G253" t="s">
        <v>5</v>
      </c>
      <c r="H253" t="s">
        <v>6</v>
      </c>
      <c r="I253" t="s">
        <v>13</v>
      </c>
      <c r="J253">
        <v>1</v>
      </c>
    </row>
    <row r="254" spans="1:10" x14ac:dyDescent="0.4">
      <c r="A254" t="s">
        <v>553</v>
      </c>
      <c r="B254" t="s">
        <v>554</v>
      </c>
      <c r="C254" t="s">
        <v>45</v>
      </c>
      <c r="D254" t="s">
        <v>50</v>
      </c>
      <c r="E254">
        <v>15.08</v>
      </c>
      <c r="F254" t="s">
        <v>47</v>
      </c>
      <c r="G254" t="s">
        <v>5</v>
      </c>
      <c r="H254" t="s">
        <v>8</v>
      </c>
      <c r="I254" t="s">
        <v>17</v>
      </c>
      <c r="J254">
        <v>0</v>
      </c>
    </row>
    <row r="255" spans="1:10" x14ac:dyDescent="0.4">
      <c r="A255" t="s">
        <v>555</v>
      </c>
      <c r="B255" t="s">
        <v>556</v>
      </c>
      <c r="C255" t="s">
        <v>45</v>
      </c>
      <c r="D255" t="s">
        <v>46</v>
      </c>
      <c r="E255">
        <v>13.17</v>
      </c>
      <c r="F255" t="s">
        <v>47</v>
      </c>
      <c r="G255" t="s">
        <v>5</v>
      </c>
      <c r="H255" t="s">
        <v>6</v>
      </c>
      <c r="I255" t="s">
        <v>13</v>
      </c>
      <c r="J255">
        <v>1</v>
      </c>
    </row>
    <row r="256" spans="1:10" x14ac:dyDescent="0.4">
      <c r="A256" t="s">
        <v>557</v>
      </c>
      <c r="B256" t="s">
        <v>558</v>
      </c>
      <c r="C256" t="s">
        <v>45</v>
      </c>
      <c r="D256" t="s">
        <v>50</v>
      </c>
      <c r="E256">
        <v>14.42</v>
      </c>
      <c r="F256" t="s">
        <v>47</v>
      </c>
      <c r="G256" t="s">
        <v>5</v>
      </c>
      <c r="H256" t="s">
        <v>6</v>
      </c>
      <c r="I256" t="s">
        <v>13</v>
      </c>
      <c r="J256">
        <v>1</v>
      </c>
    </row>
    <row r="257" spans="1:10" x14ac:dyDescent="0.4">
      <c r="A257" t="s">
        <v>559</v>
      </c>
      <c r="B257" t="s">
        <v>560</v>
      </c>
      <c r="C257" t="s">
        <v>45</v>
      </c>
      <c r="D257" t="s">
        <v>46</v>
      </c>
      <c r="E257">
        <v>12.83</v>
      </c>
      <c r="F257" t="s">
        <v>47</v>
      </c>
      <c r="G257" t="s">
        <v>5</v>
      </c>
      <c r="H257" t="s">
        <v>6</v>
      </c>
      <c r="I257" t="s">
        <v>13</v>
      </c>
      <c r="J257">
        <v>1</v>
      </c>
    </row>
    <row r="258" spans="1:10" x14ac:dyDescent="0.4">
      <c r="A258" t="s">
        <v>561</v>
      </c>
      <c r="B258" t="s">
        <v>562</v>
      </c>
      <c r="C258" t="s">
        <v>45</v>
      </c>
      <c r="D258" t="s">
        <v>50</v>
      </c>
      <c r="E258">
        <v>11.42</v>
      </c>
      <c r="F258" t="s">
        <v>47</v>
      </c>
      <c r="G258" t="s">
        <v>5</v>
      </c>
      <c r="H258" t="s">
        <v>6</v>
      </c>
      <c r="I258" t="s">
        <v>13</v>
      </c>
      <c r="J258">
        <v>1</v>
      </c>
    </row>
    <row r="259" spans="1:10" x14ac:dyDescent="0.4">
      <c r="A259" t="s">
        <v>563</v>
      </c>
      <c r="B259" t="s">
        <v>564</v>
      </c>
      <c r="C259" t="s">
        <v>45</v>
      </c>
      <c r="D259" t="s">
        <v>50</v>
      </c>
      <c r="E259">
        <v>11.92</v>
      </c>
      <c r="F259" t="s">
        <v>47</v>
      </c>
      <c r="G259" t="s">
        <v>5</v>
      </c>
      <c r="H259" t="s">
        <v>6</v>
      </c>
      <c r="I259" t="s">
        <v>13</v>
      </c>
      <c r="J259">
        <v>0</v>
      </c>
    </row>
    <row r="260" spans="1:10" x14ac:dyDescent="0.4">
      <c r="A260" t="s">
        <v>565</v>
      </c>
      <c r="B260" t="s">
        <v>566</v>
      </c>
      <c r="C260" t="s">
        <v>45</v>
      </c>
      <c r="D260" t="s">
        <v>50</v>
      </c>
      <c r="E260">
        <v>16.25</v>
      </c>
      <c r="F260" t="s">
        <v>47</v>
      </c>
      <c r="G260" t="s">
        <v>5</v>
      </c>
      <c r="H260" t="s">
        <v>6</v>
      </c>
      <c r="I260" t="s">
        <v>13</v>
      </c>
      <c r="J260">
        <v>1</v>
      </c>
    </row>
    <row r="261" spans="1:10" x14ac:dyDescent="0.4">
      <c r="A261" t="s">
        <v>567</v>
      </c>
      <c r="B261" t="s">
        <v>568</v>
      </c>
      <c r="C261" t="s">
        <v>45</v>
      </c>
      <c r="D261" t="s">
        <v>50</v>
      </c>
      <c r="E261">
        <v>12.75</v>
      </c>
      <c r="F261" t="s">
        <v>47</v>
      </c>
      <c r="G261" t="s">
        <v>5</v>
      </c>
      <c r="H261" t="s">
        <v>6</v>
      </c>
      <c r="I261" t="s">
        <v>13</v>
      </c>
      <c r="J261">
        <v>1</v>
      </c>
    </row>
    <row r="262" spans="1:10" x14ac:dyDescent="0.4">
      <c r="A262" t="s">
        <v>569</v>
      </c>
      <c r="B262" t="s">
        <v>570</v>
      </c>
      <c r="C262" t="s">
        <v>45</v>
      </c>
      <c r="D262" t="s">
        <v>50</v>
      </c>
      <c r="E262">
        <v>10.75</v>
      </c>
      <c r="F262" t="s">
        <v>47</v>
      </c>
      <c r="G262" t="s">
        <v>5</v>
      </c>
      <c r="H262" t="s">
        <v>6</v>
      </c>
      <c r="I262" t="s">
        <v>13</v>
      </c>
      <c r="J262">
        <v>1</v>
      </c>
    </row>
    <row r="263" spans="1:10" x14ac:dyDescent="0.4">
      <c r="A263" t="s">
        <v>571</v>
      </c>
      <c r="B263" t="s">
        <v>572</v>
      </c>
      <c r="C263" t="s">
        <v>45</v>
      </c>
      <c r="D263" t="s">
        <v>50</v>
      </c>
      <c r="E263">
        <v>15.67</v>
      </c>
      <c r="F263" t="s">
        <v>47</v>
      </c>
      <c r="G263" t="s">
        <v>5</v>
      </c>
      <c r="H263" t="s">
        <v>6</v>
      </c>
      <c r="I263" t="s">
        <v>13</v>
      </c>
      <c r="J263">
        <v>0</v>
      </c>
    </row>
    <row r="264" spans="1:10" x14ac:dyDescent="0.4">
      <c r="A264" t="s">
        <v>573</v>
      </c>
      <c r="B264" t="s">
        <v>574</v>
      </c>
      <c r="C264" t="s">
        <v>45</v>
      </c>
      <c r="D264" t="s">
        <v>50</v>
      </c>
      <c r="E264">
        <v>12</v>
      </c>
      <c r="F264" t="s">
        <v>47</v>
      </c>
      <c r="G264" t="s">
        <v>5</v>
      </c>
      <c r="H264" t="s">
        <v>6</v>
      </c>
      <c r="I264" t="s">
        <v>13</v>
      </c>
      <c r="J264">
        <v>1</v>
      </c>
    </row>
    <row r="265" spans="1:10" x14ac:dyDescent="0.4">
      <c r="A265" t="s">
        <v>575</v>
      </c>
      <c r="B265" t="s">
        <v>576</v>
      </c>
      <c r="C265" t="s">
        <v>45</v>
      </c>
      <c r="D265" t="s">
        <v>50</v>
      </c>
      <c r="E265">
        <v>15.5</v>
      </c>
      <c r="F265" t="s">
        <v>47</v>
      </c>
      <c r="G265" t="s">
        <v>5</v>
      </c>
      <c r="H265" t="s">
        <v>6</v>
      </c>
      <c r="I265" t="s">
        <v>13</v>
      </c>
      <c r="J265">
        <v>1</v>
      </c>
    </row>
    <row r="266" spans="1:10" x14ac:dyDescent="0.4">
      <c r="A266" t="s">
        <v>577</v>
      </c>
      <c r="B266" t="s">
        <v>578</v>
      </c>
      <c r="C266" t="s">
        <v>45</v>
      </c>
      <c r="D266" t="s">
        <v>50</v>
      </c>
      <c r="E266">
        <v>12.83</v>
      </c>
      <c r="F266" t="s">
        <v>47</v>
      </c>
      <c r="G266" t="s">
        <v>5</v>
      </c>
      <c r="H266" t="s">
        <v>8</v>
      </c>
      <c r="I266" t="s">
        <v>15</v>
      </c>
      <c r="J266">
        <v>0</v>
      </c>
    </row>
    <row r="267" spans="1:10" x14ac:dyDescent="0.4">
      <c r="A267" t="s">
        <v>579</v>
      </c>
      <c r="B267" t="s">
        <v>580</v>
      </c>
      <c r="C267" t="s">
        <v>45</v>
      </c>
      <c r="D267" t="s">
        <v>50</v>
      </c>
      <c r="E267">
        <v>15.92</v>
      </c>
      <c r="F267" t="s">
        <v>47</v>
      </c>
      <c r="G267" t="s">
        <v>5</v>
      </c>
      <c r="H267" t="s">
        <v>8</v>
      </c>
      <c r="I267" t="s">
        <v>15</v>
      </c>
      <c r="J267">
        <v>0</v>
      </c>
    </row>
    <row r="268" spans="1:10" x14ac:dyDescent="0.4">
      <c r="A268" t="s">
        <v>581</v>
      </c>
      <c r="B268" t="s">
        <v>582</v>
      </c>
      <c r="C268" t="s">
        <v>45</v>
      </c>
      <c r="D268" t="s">
        <v>46</v>
      </c>
      <c r="E268">
        <v>13.67</v>
      </c>
      <c r="F268" t="s">
        <v>47</v>
      </c>
      <c r="G268" t="s">
        <v>5</v>
      </c>
      <c r="H268" t="s">
        <v>6</v>
      </c>
      <c r="I268" t="s">
        <v>13</v>
      </c>
      <c r="J268">
        <v>0</v>
      </c>
    </row>
    <row r="269" spans="1:10" x14ac:dyDescent="0.4">
      <c r="A269" t="s">
        <v>583</v>
      </c>
      <c r="B269" t="s">
        <v>584</v>
      </c>
      <c r="C269" t="s">
        <v>45</v>
      </c>
      <c r="D269" t="s">
        <v>50</v>
      </c>
      <c r="E269">
        <v>15.75</v>
      </c>
      <c r="F269" t="s">
        <v>47</v>
      </c>
      <c r="G269" t="s">
        <v>5</v>
      </c>
      <c r="H269" t="s">
        <v>6</v>
      </c>
      <c r="I269" t="s">
        <v>13</v>
      </c>
      <c r="J269">
        <v>0</v>
      </c>
    </row>
    <row r="270" spans="1:10" x14ac:dyDescent="0.4">
      <c r="A270" t="s">
        <v>585</v>
      </c>
      <c r="B270" t="s">
        <v>586</v>
      </c>
      <c r="C270" t="s">
        <v>45</v>
      </c>
      <c r="D270" t="s">
        <v>50</v>
      </c>
      <c r="E270">
        <v>13.92</v>
      </c>
      <c r="F270" t="s">
        <v>47</v>
      </c>
      <c r="G270" t="s">
        <v>5</v>
      </c>
      <c r="H270" t="s">
        <v>6</v>
      </c>
      <c r="I270" t="s">
        <v>13</v>
      </c>
      <c r="J270">
        <v>1</v>
      </c>
    </row>
    <row r="271" spans="1:10" x14ac:dyDescent="0.4">
      <c r="A271" t="s">
        <v>587</v>
      </c>
      <c r="B271" t="s">
        <v>588</v>
      </c>
      <c r="C271" t="s">
        <v>45</v>
      </c>
      <c r="D271" t="s">
        <v>50</v>
      </c>
      <c r="E271">
        <v>16.75</v>
      </c>
      <c r="F271" t="s">
        <v>47</v>
      </c>
      <c r="G271" t="s">
        <v>5</v>
      </c>
      <c r="H271" t="s">
        <v>8</v>
      </c>
      <c r="I271" t="s">
        <v>17</v>
      </c>
      <c r="J271">
        <v>0</v>
      </c>
    </row>
    <row r="272" spans="1:10" x14ac:dyDescent="0.4">
      <c r="A272" t="s">
        <v>589</v>
      </c>
      <c r="B272" t="s">
        <v>590</v>
      </c>
      <c r="C272" t="s">
        <v>45</v>
      </c>
      <c r="D272" t="s">
        <v>50</v>
      </c>
      <c r="E272">
        <v>11.67</v>
      </c>
      <c r="F272" t="s">
        <v>47</v>
      </c>
      <c r="G272" t="s">
        <v>5</v>
      </c>
      <c r="H272" t="s">
        <v>8</v>
      </c>
      <c r="I272" t="s">
        <v>17</v>
      </c>
      <c r="J272">
        <v>0</v>
      </c>
    </row>
    <row r="273" spans="1:10" x14ac:dyDescent="0.4">
      <c r="A273" t="s">
        <v>591</v>
      </c>
      <c r="B273" t="s">
        <v>592</v>
      </c>
      <c r="C273" t="s">
        <v>45</v>
      </c>
      <c r="D273" t="s">
        <v>46</v>
      </c>
      <c r="E273">
        <v>12</v>
      </c>
      <c r="F273" t="s">
        <v>47</v>
      </c>
      <c r="G273" t="s">
        <v>7</v>
      </c>
      <c r="H273" t="s">
        <v>7</v>
      </c>
      <c r="I273" t="s">
        <v>18</v>
      </c>
      <c r="J273" t="s">
        <v>18</v>
      </c>
    </row>
    <row r="274" spans="1:10" x14ac:dyDescent="0.4">
      <c r="A274" t="s">
        <v>593</v>
      </c>
      <c r="B274" t="s">
        <v>594</v>
      </c>
      <c r="C274" t="s">
        <v>45</v>
      </c>
      <c r="D274" t="s">
        <v>50</v>
      </c>
      <c r="E274">
        <v>16.920000000000002</v>
      </c>
      <c r="F274" t="s">
        <v>47</v>
      </c>
      <c r="G274" t="s">
        <v>5</v>
      </c>
      <c r="H274" t="s">
        <v>8</v>
      </c>
      <c r="I274" t="s">
        <v>15</v>
      </c>
      <c r="J274">
        <v>0</v>
      </c>
    </row>
    <row r="275" spans="1:10" x14ac:dyDescent="0.4">
      <c r="A275" t="s">
        <v>595</v>
      </c>
      <c r="B275" t="s">
        <v>596</v>
      </c>
      <c r="C275" t="s">
        <v>45</v>
      </c>
      <c r="D275" t="s">
        <v>46</v>
      </c>
      <c r="E275">
        <v>12.33</v>
      </c>
      <c r="F275" t="s">
        <v>47</v>
      </c>
      <c r="G275" t="s">
        <v>5</v>
      </c>
      <c r="H275" t="s">
        <v>8</v>
      </c>
      <c r="I275" t="s">
        <v>17</v>
      </c>
      <c r="J275">
        <v>0</v>
      </c>
    </row>
    <row r="276" spans="1:10" x14ac:dyDescent="0.4">
      <c r="A276" t="s">
        <v>597</v>
      </c>
      <c r="B276" t="s">
        <v>598</v>
      </c>
      <c r="C276" t="s">
        <v>45</v>
      </c>
      <c r="D276" t="s">
        <v>46</v>
      </c>
      <c r="E276">
        <v>10.83</v>
      </c>
      <c r="F276" t="s">
        <v>47</v>
      </c>
      <c r="G276" t="s">
        <v>5</v>
      </c>
      <c r="H276" t="s">
        <v>6</v>
      </c>
      <c r="I276" t="s">
        <v>13</v>
      </c>
      <c r="J276">
        <v>1</v>
      </c>
    </row>
    <row r="277" spans="1:10" x14ac:dyDescent="0.4">
      <c r="A277" t="s">
        <v>599</v>
      </c>
      <c r="B277" t="s">
        <v>600</v>
      </c>
      <c r="C277" t="s">
        <v>45</v>
      </c>
      <c r="D277" t="s">
        <v>50</v>
      </c>
      <c r="E277">
        <v>13.25</v>
      </c>
      <c r="F277" t="s">
        <v>47</v>
      </c>
      <c r="G277" t="s">
        <v>5</v>
      </c>
      <c r="H277" t="s">
        <v>6</v>
      </c>
      <c r="I277" t="s">
        <v>13</v>
      </c>
      <c r="J277">
        <v>1</v>
      </c>
    </row>
    <row r="278" spans="1:10" x14ac:dyDescent="0.4">
      <c r="A278" t="s">
        <v>601</v>
      </c>
      <c r="B278" t="s">
        <v>602</v>
      </c>
      <c r="C278" t="s">
        <v>45</v>
      </c>
      <c r="D278" t="s">
        <v>50</v>
      </c>
      <c r="E278">
        <v>7.25</v>
      </c>
      <c r="F278" t="s">
        <v>65</v>
      </c>
      <c r="G278" t="s">
        <v>7</v>
      </c>
      <c r="H278" t="s">
        <v>7</v>
      </c>
      <c r="I278" t="s">
        <v>18</v>
      </c>
      <c r="J278" t="s">
        <v>18</v>
      </c>
    </row>
    <row r="279" spans="1:10" x14ac:dyDescent="0.4">
      <c r="A279" t="s">
        <v>603</v>
      </c>
      <c r="B279" t="s">
        <v>604</v>
      </c>
      <c r="C279" t="s">
        <v>45</v>
      </c>
      <c r="D279" t="s">
        <v>50</v>
      </c>
      <c r="E279">
        <v>15.83</v>
      </c>
      <c r="F279" t="s">
        <v>47</v>
      </c>
      <c r="G279" t="s">
        <v>5</v>
      </c>
      <c r="H279" t="s">
        <v>8</v>
      </c>
      <c r="I279" t="s">
        <v>15</v>
      </c>
      <c r="J279">
        <v>0</v>
      </c>
    </row>
    <row r="280" spans="1:10" x14ac:dyDescent="0.4">
      <c r="A280" t="s">
        <v>605</v>
      </c>
      <c r="B280" t="s">
        <v>606</v>
      </c>
      <c r="C280" t="s">
        <v>45</v>
      </c>
      <c r="D280" t="s">
        <v>46</v>
      </c>
      <c r="E280">
        <v>14.25</v>
      </c>
      <c r="F280" t="s">
        <v>47</v>
      </c>
      <c r="G280" t="s">
        <v>5</v>
      </c>
      <c r="H280" t="s">
        <v>8</v>
      </c>
      <c r="I280" t="s">
        <v>15</v>
      </c>
      <c r="J280">
        <v>0</v>
      </c>
    </row>
    <row r="281" spans="1:10" x14ac:dyDescent="0.4">
      <c r="A281" t="s">
        <v>607</v>
      </c>
      <c r="B281" t="s">
        <v>608</v>
      </c>
      <c r="C281" t="s">
        <v>45</v>
      </c>
      <c r="D281" t="s">
        <v>46</v>
      </c>
      <c r="E281">
        <v>16.579999999999998</v>
      </c>
      <c r="F281" t="s">
        <v>47</v>
      </c>
      <c r="G281" t="s">
        <v>7</v>
      </c>
      <c r="H281" t="s">
        <v>7</v>
      </c>
      <c r="I281" t="s">
        <v>18</v>
      </c>
      <c r="J281" t="s">
        <v>18</v>
      </c>
    </row>
    <row r="282" spans="1:10" x14ac:dyDescent="0.4">
      <c r="A282" t="s">
        <v>609</v>
      </c>
      <c r="B282" t="s">
        <v>610</v>
      </c>
      <c r="C282" t="s">
        <v>45</v>
      </c>
      <c r="D282" t="s">
        <v>50</v>
      </c>
      <c r="E282">
        <v>16.5</v>
      </c>
      <c r="F282" t="s">
        <v>47</v>
      </c>
      <c r="G282" t="s">
        <v>5</v>
      </c>
      <c r="H282" t="s">
        <v>8</v>
      </c>
      <c r="I282" t="s">
        <v>17</v>
      </c>
      <c r="J282">
        <v>0</v>
      </c>
    </row>
    <row r="283" spans="1:10" x14ac:dyDescent="0.4">
      <c r="A283" t="s">
        <v>611</v>
      </c>
      <c r="B283" t="s">
        <v>612</v>
      </c>
      <c r="C283" t="s">
        <v>45</v>
      </c>
      <c r="D283" t="s">
        <v>50</v>
      </c>
      <c r="E283">
        <v>16.5</v>
      </c>
      <c r="F283" t="s">
        <v>47</v>
      </c>
      <c r="G283" t="s">
        <v>7</v>
      </c>
      <c r="H283" t="s">
        <v>7</v>
      </c>
      <c r="I283" t="s">
        <v>18</v>
      </c>
      <c r="J283" t="s">
        <v>18</v>
      </c>
    </row>
    <row r="284" spans="1:10" x14ac:dyDescent="0.4">
      <c r="A284" t="s">
        <v>613</v>
      </c>
      <c r="B284" t="s">
        <v>614</v>
      </c>
      <c r="C284" t="s">
        <v>45</v>
      </c>
      <c r="D284" t="s">
        <v>50</v>
      </c>
      <c r="E284">
        <v>15.5</v>
      </c>
      <c r="F284" t="s">
        <v>47</v>
      </c>
      <c r="G284" t="s">
        <v>7</v>
      </c>
      <c r="H284" t="s">
        <v>7</v>
      </c>
      <c r="I284" t="s">
        <v>18</v>
      </c>
      <c r="J284" t="s">
        <v>18</v>
      </c>
    </row>
    <row r="285" spans="1:10" x14ac:dyDescent="0.4">
      <c r="A285" t="s">
        <v>615</v>
      </c>
      <c r="B285" t="s">
        <v>616</v>
      </c>
      <c r="C285" t="s">
        <v>45</v>
      </c>
      <c r="D285" t="s">
        <v>50</v>
      </c>
      <c r="E285">
        <v>15.33</v>
      </c>
      <c r="F285" t="s">
        <v>47</v>
      </c>
      <c r="G285" t="s">
        <v>7</v>
      </c>
      <c r="H285" t="s">
        <v>7</v>
      </c>
      <c r="I285" t="s">
        <v>18</v>
      </c>
      <c r="J285" t="s">
        <v>18</v>
      </c>
    </row>
    <row r="286" spans="1:10" x14ac:dyDescent="0.4">
      <c r="A286" t="s">
        <v>617</v>
      </c>
      <c r="B286" t="s">
        <v>618</v>
      </c>
      <c r="C286" t="s">
        <v>45</v>
      </c>
      <c r="D286" t="s">
        <v>46</v>
      </c>
      <c r="E286">
        <v>12.67</v>
      </c>
      <c r="F286" t="s">
        <v>47</v>
      </c>
      <c r="G286" t="s">
        <v>5</v>
      </c>
      <c r="H286" t="s">
        <v>8</v>
      </c>
      <c r="I286" t="s">
        <v>15</v>
      </c>
      <c r="J286">
        <v>0</v>
      </c>
    </row>
    <row r="287" spans="1:10" x14ac:dyDescent="0.4">
      <c r="A287" t="s">
        <v>619</v>
      </c>
      <c r="B287" t="s">
        <v>620</v>
      </c>
      <c r="C287" t="s">
        <v>45</v>
      </c>
      <c r="D287" t="s">
        <v>50</v>
      </c>
      <c r="E287">
        <v>6.58</v>
      </c>
      <c r="F287" t="s">
        <v>65</v>
      </c>
      <c r="G287" t="s">
        <v>5</v>
      </c>
      <c r="H287" t="s">
        <v>8</v>
      </c>
      <c r="I287" t="s">
        <v>15</v>
      </c>
      <c r="J287">
        <v>0</v>
      </c>
    </row>
    <row r="288" spans="1:10" x14ac:dyDescent="0.4">
      <c r="A288" t="s">
        <v>621</v>
      </c>
      <c r="B288" t="s">
        <v>622</v>
      </c>
      <c r="C288" t="s">
        <v>45</v>
      </c>
      <c r="D288" t="s">
        <v>46</v>
      </c>
      <c r="E288">
        <v>16.25</v>
      </c>
      <c r="F288" t="s">
        <v>47</v>
      </c>
      <c r="G288" t="s">
        <v>5</v>
      </c>
      <c r="H288" t="s">
        <v>8</v>
      </c>
      <c r="I288" t="s">
        <v>17</v>
      </c>
      <c r="J288">
        <v>0</v>
      </c>
    </row>
    <row r="289" spans="1:10" x14ac:dyDescent="0.4">
      <c r="A289" t="s">
        <v>623</v>
      </c>
      <c r="B289" t="s">
        <v>624</v>
      </c>
      <c r="C289" t="s">
        <v>45</v>
      </c>
      <c r="D289" t="s">
        <v>50</v>
      </c>
      <c r="E289">
        <v>13.75</v>
      </c>
      <c r="F289" t="s">
        <v>47</v>
      </c>
      <c r="G289" t="s">
        <v>7</v>
      </c>
      <c r="H289" t="s">
        <v>7</v>
      </c>
      <c r="I289" t="s">
        <v>18</v>
      </c>
      <c r="J289" t="s">
        <v>18</v>
      </c>
    </row>
    <row r="290" spans="1:10" x14ac:dyDescent="0.4">
      <c r="A290" t="s">
        <v>625</v>
      </c>
      <c r="B290" t="s">
        <v>626</v>
      </c>
      <c r="C290" t="s">
        <v>45</v>
      </c>
      <c r="D290" t="s">
        <v>46</v>
      </c>
      <c r="E290">
        <v>14.08</v>
      </c>
      <c r="F290" t="s">
        <v>47</v>
      </c>
      <c r="G290" t="s">
        <v>5</v>
      </c>
      <c r="H290" t="s">
        <v>8</v>
      </c>
      <c r="I290" t="s">
        <v>17</v>
      </c>
      <c r="J290">
        <v>0</v>
      </c>
    </row>
    <row r="291" spans="1:10" x14ac:dyDescent="0.4">
      <c r="A291" t="s">
        <v>627</v>
      </c>
      <c r="B291" t="s">
        <v>628</v>
      </c>
      <c r="C291" t="s">
        <v>45</v>
      </c>
      <c r="D291" t="s">
        <v>50</v>
      </c>
      <c r="E291">
        <v>13.75</v>
      </c>
      <c r="F291" t="s">
        <v>47</v>
      </c>
      <c r="G291" t="s">
        <v>7</v>
      </c>
      <c r="H291" t="s">
        <v>7</v>
      </c>
      <c r="I291" t="s">
        <v>18</v>
      </c>
      <c r="J291" t="s">
        <v>18</v>
      </c>
    </row>
    <row r="292" spans="1:10" x14ac:dyDescent="0.4">
      <c r="A292" t="s">
        <v>629</v>
      </c>
      <c r="B292" t="s">
        <v>630</v>
      </c>
      <c r="C292" t="s">
        <v>45</v>
      </c>
      <c r="D292" t="s">
        <v>50</v>
      </c>
      <c r="E292">
        <v>7.42</v>
      </c>
      <c r="F292" t="s">
        <v>65</v>
      </c>
      <c r="G292" t="s">
        <v>7</v>
      </c>
      <c r="H292" t="s">
        <v>7</v>
      </c>
      <c r="I292" t="s">
        <v>18</v>
      </c>
      <c r="J292" t="s">
        <v>18</v>
      </c>
    </row>
    <row r="293" spans="1:10" x14ac:dyDescent="0.4">
      <c r="A293" t="s">
        <v>631</v>
      </c>
      <c r="B293" t="s">
        <v>632</v>
      </c>
      <c r="C293" t="s">
        <v>45</v>
      </c>
      <c r="D293" t="s">
        <v>50</v>
      </c>
      <c r="E293">
        <v>10.83</v>
      </c>
      <c r="F293" t="s">
        <v>47</v>
      </c>
      <c r="G293" t="s">
        <v>7</v>
      </c>
      <c r="H293" t="s">
        <v>7</v>
      </c>
      <c r="I293" t="s">
        <v>18</v>
      </c>
      <c r="J293" t="s">
        <v>18</v>
      </c>
    </row>
    <row r="294" spans="1:10" x14ac:dyDescent="0.4">
      <c r="A294" t="s">
        <v>633</v>
      </c>
      <c r="B294" t="s">
        <v>634</v>
      </c>
      <c r="C294" t="s">
        <v>45</v>
      </c>
      <c r="D294" t="s">
        <v>46</v>
      </c>
      <c r="E294">
        <v>12.5</v>
      </c>
      <c r="F294" t="s">
        <v>47</v>
      </c>
      <c r="G294" t="s">
        <v>5</v>
      </c>
      <c r="H294" t="s">
        <v>8</v>
      </c>
      <c r="I294" t="s">
        <v>15</v>
      </c>
      <c r="J294">
        <v>0</v>
      </c>
    </row>
    <row r="295" spans="1:10" x14ac:dyDescent="0.4">
      <c r="A295" t="s">
        <v>635</v>
      </c>
      <c r="B295" t="s">
        <v>636</v>
      </c>
      <c r="C295" t="s">
        <v>45</v>
      </c>
      <c r="D295" t="s">
        <v>50</v>
      </c>
      <c r="E295">
        <v>15.08</v>
      </c>
      <c r="F295" t="s">
        <v>47</v>
      </c>
      <c r="G295" t="s">
        <v>7</v>
      </c>
      <c r="H295" t="s">
        <v>7</v>
      </c>
      <c r="I295" t="s">
        <v>18</v>
      </c>
      <c r="J295" t="s">
        <v>18</v>
      </c>
    </row>
    <row r="296" spans="1:10" x14ac:dyDescent="0.4">
      <c r="A296" t="s">
        <v>637</v>
      </c>
      <c r="B296" t="s">
        <v>638</v>
      </c>
      <c r="C296" t="s">
        <v>45</v>
      </c>
      <c r="D296" t="s">
        <v>50</v>
      </c>
      <c r="E296">
        <v>9.42</v>
      </c>
      <c r="F296" t="s">
        <v>65</v>
      </c>
      <c r="G296" t="s">
        <v>7</v>
      </c>
      <c r="H296" t="s">
        <v>7</v>
      </c>
      <c r="I296" t="s">
        <v>18</v>
      </c>
      <c r="J296" t="s">
        <v>18</v>
      </c>
    </row>
    <row r="297" spans="1:10" x14ac:dyDescent="0.4">
      <c r="A297" t="s">
        <v>639</v>
      </c>
      <c r="B297" t="s">
        <v>640</v>
      </c>
      <c r="C297" t="s">
        <v>45</v>
      </c>
      <c r="D297" t="s">
        <v>50</v>
      </c>
      <c r="E297">
        <v>10.58</v>
      </c>
      <c r="F297" t="s">
        <v>47</v>
      </c>
      <c r="G297" t="s">
        <v>5</v>
      </c>
      <c r="H297" t="s">
        <v>6</v>
      </c>
      <c r="I297" t="s">
        <v>13</v>
      </c>
      <c r="J297">
        <v>1</v>
      </c>
    </row>
    <row r="298" spans="1:10" x14ac:dyDescent="0.4">
      <c r="A298" t="s">
        <v>641</v>
      </c>
      <c r="B298" t="s">
        <v>642</v>
      </c>
      <c r="C298" t="s">
        <v>45</v>
      </c>
      <c r="D298" t="s">
        <v>50</v>
      </c>
      <c r="E298">
        <v>15.83</v>
      </c>
      <c r="F298" t="s">
        <v>47</v>
      </c>
      <c r="G298" t="s">
        <v>7</v>
      </c>
      <c r="H298" t="s">
        <v>7</v>
      </c>
      <c r="I298" t="s">
        <v>18</v>
      </c>
      <c r="J298" t="s">
        <v>18</v>
      </c>
    </row>
    <row r="299" spans="1:10" x14ac:dyDescent="0.4">
      <c r="A299" t="s">
        <v>643</v>
      </c>
      <c r="B299" t="s">
        <v>644</v>
      </c>
      <c r="C299" t="s">
        <v>45</v>
      </c>
      <c r="D299" t="s">
        <v>50</v>
      </c>
      <c r="E299">
        <v>15.92</v>
      </c>
      <c r="F299" t="s">
        <v>47</v>
      </c>
      <c r="G299" t="s">
        <v>7</v>
      </c>
      <c r="H299" t="s">
        <v>7</v>
      </c>
      <c r="I299" t="s">
        <v>18</v>
      </c>
      <c r="J299" t="s">
        <v>18</v>
      </c>
    </row>
    <row r="300" spans="1:10" x14ac:dyDescent="0.4">
      <c r="A300" t="s">
        <v>645</v>
      </c>
      <c r="B300" t="s">
        <v>646</v>
      </c>
      <c r="C300" t="s">
        <v>45</v>
      </c>
      <c r="D300" t="s">
        <v>50</v>
      </c>
      <c r="E300">
        <v>12.75</v>
      </c>
      <c r="F300" t="s">
        <v>47</v>
      </c>
      <c r="G300" t="s">
        <v>5</v>
      </c>
      <c r="H300" t="s">
        <v>8</v>
      </c>
      <c r="I300" t="s">
        <v>17</v>
      </c>
      <c r="J300">
        <v>0</v>
      </c>
    </row>
    <row r="301" spans="1:10" x14ac:dyDescent="0.4">
      <c r="A301" t="s">
        <v>647</v>
      </c>
      <c r="B301" t="s">
        <v>648</v>
      </c>
      <c r="C301" t="s">
        <v>45</v>
      </c>
      <c r="D301" t="s">
        <v>50</v>
      </c>
      <c r="E301">
        <v>13</v>
      </c>
      <c r="F301" t="s">
        <v>47</v>
      </c>
      <c r="G301" t="s">
        <v>5</v>
      </c>
      <c r="H301" t="s">
        <v>6</v>
      </c>
      <c r="I301" t="s">
        <v>13</v>
      </c>
      <c r="J301">
        <v>1</v>
      </c>
    </row>
    <row r="302" spans="1:10" x14ac:dyDescent="0.4">
      <c r="A302" t="s">
        <v>649</v>
      </c>
      <c r="B302" t="s">
        <v>650</v>
      </c>
      <c r="C302" t="s">
        <v>45</v>
      </c>
      <c r="D302" t="s">
        <v>46</v>
      </c>
      <c r="E302">
        <v>16.670000000000002</v>
      </c>
      <c r="F302" t="s">
        <v>47</v>
      </c>
      <c r="G302" t="s">
        <v>7</v>
      </c>
      <c r="H302" t="s">
        <v>7</v>
      </c>
      <c r="I302" t="s">
        <v>18</v>
      </c>
      <c r="J302" t="s">
        <v>18</v>
      </c>
    </row>
    <row r="303" spans="1:10" x14ac:dyDescent="0.4">
      <c r="A303" t="s">
        <v>651</v>
      </c>
      <c r="B303" t="s">
        <v>652</v>
      </c>
      <c r="C303" t="s">
        <v>45</v>
      </c>
      <c r="D303" t="s">
        <v>50</v>
      </c>
      <c r="E303">
        <v>17.079999999999998</v>
      </c>
      <c r="F303" t="s">
        <v>47</v>
      </c>
      <c r="G303" t="s">
        <v>7</v>
      </c>
      <c r="H303" t="s">
        <v>7</v>
      </c>
      <c r="I303" t="s">
        <v>18</v>
      </c>
      <c r="J303" t="s">
        <v>18</v>
      </c>
    </row>
    <row r="304" spans="1:10" x14ac:dyDescent="0.4">
      <c r="A304" t="s">
        <v>653</v>
      </c>
      <c r="B304" t="s">
        <v>654</v>
      </c>
      <c r="C304" t="s">
        <v>45</v>
      </c>
      <c r="D304" t="s">
        <v>50</v>
      </c>
      <c r="E304">
        <v>15.33</v>
      </c>
      <c r="F304" t="s">
        <v>47</v>
      </c>
      <c r="G304" t="s">
        <v>5</v>
      </c>
      <c r="H304" t="s">
        <v>6</v>
      </c>
      <c r="I304" t="s">
        <v>15</v>
      </c>
      <c r="J304">
        <v>0</v>
      </c>
    </row>
    <row r="305" spans="1:10" x14ac:dyDescent="0.4">
      <c r="A305" t="s">
        <v>655</v>
      </c>
      <c r="B305" t="s">
        <v>656</v>
      </c>
      <c r="C305" t="s">
        <v>45</v>
      </c>
      <c r="D305" t="s">
        <v>50</v>
      </c>
      <c r="E305">
        <v>10.83</v>
      </c>
      <c r="F305" t="s">
        <v>47</v>
      </c>
      <c r="G305" t="s">
        <v>5</v>
      </c>
      <c r="H305" t="s">
        <v>8</v>
      </c>
      <c r="I305" t="s">
        <v>15</v>
      </c>
      <c r="J305">
        <v>0</v>
      </c>
    </row>
    <row r="306" spans="1:10" x14ac:dyDescent="0.4">
      <c r="A306" t="s">
        <v>657</v>
      </c>
      <c r="B306" t="s">
        <v>658</v>
      </c>
      <c r="C306" t="s">
        <v>45</v>
      </c>
      <c r="D306" t="s">
        <v>50</v>
      </c>
      <c r="E306">
        <v>13.58</v>
      </c>
      <c r="F306" t="s">
        <v>47</v>
      </c>
      <c r="G306" t="s">
        <v>7</v>
      </c>
      <c r="H306" t="s">
        <v>7</v>
      </c>
      <c r="I306" t="s">
        <v>18</v>
      </c>
      <c r="J306" t="s">
        <v>18</v>
      </c>
    </row>
    <row r="307" spans="1:10" x14ac:dyDescent="0.4">
      <c r="A307" t="s">
        <v>659</v>
      </c>
      <c r="B307" t="s">
        <v>660</v>
      </c>
      <c r="C307" t="s">
        <v>45</v>
      </c>
      <c r="D307" t="s">
        <v>46</v>
      </c>
      <c r="E307">
        <v>16.329999999999998</v>
      </c>
      <c r="F307" t="s">
        <v>47</v>
      </c>
      <c r="G307" t="s">
        <v>7</v>
      </c>
      <c r="H307" t="s">
        <v>7</v>
      </c>
      <c r="I307" t="s">
        <v>18</v>
      </c>
      <c r="J307" t="s">
        <v>18</v>
      </c>
    </row>
    <row r="308" spans="1:10" x14ac:dyDescent="0.4">
      <c r="A308" t="s">
        <v>661</v>
      </c>
      <c r="B308" t="s">
        <v>662</v>
      </c>
      <c r="C308" t="s">
        <v>45</v>
      </c>
      <c r="D308" t="s">
        <v>50</v>
      </c>
      <c r="E308">
        <v>11.83</v>
      </c>
      <c r="F308" t="s">
        <v>47</v>
      </c>
      <c r="G308" t="s">
        <v>5</v>
      </c>
      <c r="H308" t="s">
        <v>8</v>
      </c>
      <c r="I308" t="s">
        <v>15</v>
      </c>
      <c r="J308">
        <v>0</v>
      </c>
    </row>
    <row r="309" spans="1:10" x14ac:dyDescent="0.4">
      <c r="A309" t="s">
        <v>663</v>
      </c>
      <c r="B309" t="s">
        <v>664</v>
      </c>
      <c r="C309" t="s">
        <v>45</v>
      </c>
      <c r="D309" t="s">
        <v>50</v>
      </c>
      <c r="E309">
        <v>15.75</v>
      </c>
      <c r="F309" t="s">
        <v>47</v>
      </c>
      <c r="G309" t="s">
        <v>7</v>
      </c>
      <c r="H309" t="s">
        <v>7</v>
      </c>
      <c r="I309" t="s">
        <v>18</v>
      </c>
      <c r="J309" t="s">
        <v>18</v>
      </c>
    </row>
    <row r="310" spans="1:10" x14ac:dyDescent="0.4">
      <c r="A310" t="s">
        <v>665</v>
      </c>
      <c r="B310" t="s">
        <v>666</v>
      </c>
      <c r="C310" t="s">
        <v>45</v>
      </c>
      <c r="D310" t="s">
        <v>46</v>
      </c>
      <c r="E310">
        <v>13.67</v>
      </c>
      <c r="F310" t="s">
        <v>47</v>
      </c>
      <c r="G310" t="s">
        <v>5</v>
      </c>
      <c r="H310" t="s">
        <v>8</v>
      </c>
      <c r="I310" t="s">
        <v>15</v>
      </c>
      <c r="J310">
        <v>0</v>
      </c>
    </row>
    <row r="311" spans="1:10" x14ac:dyDescent="0.4">
      <c r="A311" t="s">
        <v>667</v>
      </c>
      <c r="B311" t="s">
        <v>668</v>
      </c>
      <c r="C311" t="s">
        <v>45</v>
      </c>
      <c r="D311" t="s">
        <v>46</v>
      </c>
      <c r="E311">
        <v>13.17</v>
      </c>
      <c r="F311" t="s">
        <v>47</v>
      </c>
      <c r="G311" t="s">
        <v>5</v>
      </c>
      <c r="H311" t="s">
        <v>6</v>
      </c>
      <c r="I311" t="s">
        <v>13</v>
      </c>
      <c r="J311">
        <v>0</v>
      </c>
    </row>
    <row r="312" spans="1:10" x14ac:dyDescent="0.4">
      <c r="A312" t="s">
        <v>669</v>
      </c>
      <c r="B312" t="s">
        <v>670</v>
      </c>
      <c r="C312" t="s">
        <v>45</v>
      </c>
      <c r="D312" t="s">
        <v>50</v>
      </c>
      <c r="E312">
        <v>13.83</v>
      </c>
      <c r="F312" t="s">
        <v>47</v>
      </c>
      <c r="G312" t="s">
        <v>5</v>
      </c>
      <c r="H312" t="s">
        <v>8</v>
      </c>
      <c r="I312" t="s">
        <v>15</v>
      </c>
      <c r="J312">
        <v>0</v>
      </c>
    </row>
    <row r="313" spans="1:10" x14ac:dyDescent="0.4">
      <c r="A313" t="s">
        <v>671</v>
      </c>
      <c r="B313" t="s">
        <v>672</v>
      </c>
      <c r="C313" t="s">
        <v>45</v>
      </c>
      <c r="D313" t="s">
        <v>50</v>
      </c>
      <c r="E313">
        <v>10.67</v>
      </c>
      <c r="F313" t="s">
        <v>47</v>
      </c>
      <c r="G313" t="s">
        <v>5</v>
      </c>
      <c r="H313" t="s">
        <v>8</v>
      </c>
      <c r="I313" t="s">
        <v>15</v>
      </c>
      <c r="J313">
        <v>0</v>
      </c>
    </row>
    <row r="314" spans="1:10" x14ac:dyDescent="0.4">
      <c r="A314" t="s">
        <v>673</v>
      </c>
      <c r="B314" t="s">
        <v>674</v>
      </c>
      <c r="C314" t="s">
        <v>45</v>
      </c>
      <c r="D314" t="s">
        <v>46</v>
      </c>
      <c r="E314">
        <v>5.42</v>
      </c>
      <c r="F314" t="s">
        <v>65</v>
      </c>
      <c r="G314" t="s">
        <v>5</v>
      </c>
      <c r="H314" t="s">
        <v>6</v>
      </c>
      <c r="I314" t="s">
        <v>13</v>
      </c>
      <c r="J314">
        <v>0</v>
      </c>
    </row>
    <row r="315" spans="1:10" x14ac:dyDescent="0.4">
      <c r="A315" t="s">
        <v>675</v>
      </c>
      <c r="B315" t="s">
        <v>676</v>
      </c>
      <c r="C315" t="s">
        <v>45</v>
      </c>
      <c r="D315" t="s">
        <v>50</v>
      </c>
      <c r="E315">
        <v>11</v>
      </c>
      <c r="F315" t="s">
        <v>47</v>
      </c>
      <c r="G315" t="s">
        <v>5</v>
      </c>
      <c r="H315" t="s">
        <v>8</v>
      </c>
      <c r="I315" t="s">
        <v>17</v>
      </c>
      <c r="J315">
        <v>0</v>
      </c>
    </row>
    <row r="316" spans="1:10" x14ac:dyDescent="0.4">
      <c r="A316" t="s">
        <v>677</v>
      </c>
      <c r="B316" t="s">
        <v>678</v>
      </c>
      <c r="C316" t="s">
        <v>45</v>
      </c>
      <c r="D316" t="s">
        <v>46</v>
      </c>
      <c r="E316">
        <v>14.92</v>
      </c>
      <c r="F316" t="s">
        <v>47</v>
      </c>
      <c r="G316" t="s">
        <v>7</v>
      </c>
      <c r="H316" t="s">
        <v>7</v>
      </c>
      <c r="I316" t="s">
        <v>18</v>
      </c>
      <c r="J316" t="s">
        <v>18</v>
      </c>
    </row>
    <row r="317" spans="1:10" x14ac:dyDescent="0.4">
      <c r="A317" t="s">
        <v>679</v>
      </c>
      <c r="B317" t="s">
        <v>680</v>
      </c>
      <c r="C317" t="s">
        <v>45</v>
      </c>
      <c r="D317" t="s">
        <v>46</v>
      </c>
      <c r="E317">
        <v>16.91</v>
      </c>
      <c r="F317" t="s">
        <v>47</v>
      </c>
      <c r="G317" t="s">
        <v>7</v>
      </c>
      <c r="H317" t="s">
        <v>7</v>
      </c>
      <c r="I317" t="s">
        <v>18</v>
      </c>
      <c r="J317" t="s">
        <v>18</v>
      </c>
    </row>
    <row r="318" spans="1:10" x14ac:dyDescent="0.4">
      <c r="A318" t="s">
        <v>681</v>
      </c>
      <c r="B318" t="s">
        <v>682</v>
      </c>
      <c r="C318" t="s">
        <v>45</v>
      </c>
      <c r="D318" t="s">
        <v>50</v>
      </c>
      <c r="E318">
        <v>10.5</v>
      </c>
      <c r="F318" t="s">
        <v>47</v>
      </c>
      <c r="G318" t="s">
        <v>5</v>
      </c>
      <c r="H318" t="s">
        <v>8</v>
      </c>
      <c r="I318" t="s">
        <v>15</v>
      </c>
      <c r="J318">
        <v>0</v>
      </c>
    </row>
    <row r="319" spans="1:10" x14ac:dyDescent="0.4">
      <c r="A319" t="s">
        <v>683</v>
      </c>
      <c r="B319" t="s">
        <v>684</v>
      </c>
      <c r="C319" t="s">
        <v>45</v>
      </c>
      <c r="D319" t="s">
        <v>46</v>
      </c>
      <c r="E319">
        <v>4.5</v>
      </c>
      <c r="F319" t="s">
        <v>65</v>
      </c>
      <c r="G319" t="s">
        <v>7</v>
      </c>
      <c r="H319" t="s">
        <v>7</v>
      </c>
      <c r="I319" t="s">
        <v>18</v>
      </c>
      <c r="J319" t="s">
        <v>18</v>
      </c>
    </row>
    <row r="320" spans="1:10" x14ac:dyDescent="0.4">
      <c r="A320" t="s">
        <v>685</v>
      </c>
      <c r="B320" t="s">
        <v>686</v>
      </c>
      <c r="C320" t="s">
        <v>45</v>
      </c>
      <c r="D320" t="s">
        <v>50</v>
      </c>
      <c r="E320">
        <v>11</v>
      </c>
      <c r="F320" t="s">
        <v>47</v>
      </c>
      <c r="G320" t="s">
        <v>7</v>
      </c>
      <c r="H320" t="s">
        <v>7</v>
      </c>
      <c r="I320" t="s">
        <v>18</v>
      </c>
      <c r="J320" t="s">
        <v>18</v>
      </c>
    </row>
    <row r="321" spans="1:10" x14ac:dyDescent="0.4">
      <c r="A321" t="s">
        <v>687</v>
      </c>
      <c r="B321" t="s">
        <v>688</v>
      </c>
      <c r="C321" t="s">
        <v>45</v>
      </c>
      <c r="D321" t="s">
        <v>46</v>
      </c>
      <c r="E321">
        <v>15.75</v>
      </c>
      <c r="F321" t="s">
        <v>47</v>
      </c>
      <c r="G321" t="s">
        <v>5</v>
      </c>
      <c r="H321" t="s">
        <v>8</v>
      </c>
      <c r="I321" t="s">
        <v>17</v>
      </c>
      <c r="J321">
        <v>0</v>
      </c>
    </row>
    <row r="322" spans="1:10" x14ac:dyDescent="0.4">
      <c r="A322" t="s">
        <v>689</v>
      </c>
      <c r="B322" t="s">
        <v>690</v>
      </c>
      <c r="C322" t="s">
        <v>45</v>
      </c>
      <c r="D322" t="s">
        <v>46</v>
      </c>
      <c r="E322">
        <v>9.58</v>
      </c>
      <c r="F322" t="s">
        <v>65</v>
      </c>
      <c r="G322" t="s">
        <v>5</v>
      </c>
      <c r="H322" t="s">
        <v>8</v>
      </c>
      <c r="I322" t="s">
        <v>17</v>
      </c>
      <c r="J322">
        <v>0</v>
      </c>
    </row>
    <row r="323" spans="1:10" x14ac:dyDescent="0.4">
      <c r="A323" t="s">
        <v>691</v>
      </c>
      <c r="B323" t="s">
        <v>692</v>
      </c>
      <c r="C323" t="s">
        <v>45</v>
      </c>
      <c r="D323" t="s">
        <v>50</v>
      </c>
      <c r="E323">
        <v>14.17</v>
      </c>
      <c r="F323" t="s">
        <v>47</v>
      </c>
      <c r="G323" t="s">
        <v>7</v>
      </c>
      <c r="H323" t="s">
        <v>7</v>
      </c>
      <c r="I323" t="s">
        <v>18</v>
      </c>
      <c r="J323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A17" sqref="A17"/>
    </sheetView>
  </sheetViews>
  <sheetFormatPr defaultRowHeight="13.9" x14ac:dyDescent="0.4"/>
  <cols>
    <col min="1" max="1" width="41.46484375" customWidth="1"/>
    <col min="2" max="2" width="17.3984375" customWidth="1"/>
    <col min="3" max="3" width="17.265625" customWidth="1"/>
    <col min="4" max="4" width="14.73046875" customWidth="1"/>
  </cols>
  <sheetData>
    <row r="1" spans="1:4" ht="14.25" x14ac:dyDescent="0.4">
      <c r="A1" s="4"/>
      <c r="B1" s="5" t="s">
        <v>693</v>
      </c>
      <c r="C1" s="5" t="s">
        <v>694</v>
      </c>
      <c r="D1" s="6" t="s">
        <v>695</v>
      </c>
    </row>
    <row r="2" spans="1:4" ht="14.25" x14ac:dyDescent="0.4">
      <c r="A2" s="7" t="s">
        <v>696</v>
      </c>
      <c r="B2" s="8" t="s">
        <v>697</v>
      </c>
      <c r="C2" s="8" t="s">
        <v>698</v>
      </c>
      <c r="D2" s="9" t="s">
        <v>699</v>
      </c>
    </row>
    <row r="3" spans="1:4" ht="14.25" x14ac:dyDescent="0.4">
      <c r="A3" s="7" t="s">
        <v>700</v>
      </c>
      <c r="B3" s="8">
        <v>62</v>
      </c>
      <c r="C3" s="8">
        <v>74</v>
      </c>
      <c r="D3" s="9">
        <v>50</v>
      </c>
    </row>
    <row r="4" spans="1:4" ht="14.25" x14ac:dyDescent="0.4">
      <c r="A4" s="7" t="s">
        <v>701</v>
      </c>
      <c r="B4" s="8">
        <v>75</v>
      </c>
      <c r="C4" s="8">
        <v>69</v>
      </c>
      <c r="D4" s="9">
        <v>75</v>
      </c>
    </row>
    <row r="5" spans="1:4" ht="14.25" x14ac:dyDescent="0.4">
      <c r="A5" s="7" t="s">
        <v>702</v>
      </c>
      <c r="B5" s="8">
        <v>8</v>
      </c>
      <c r="C5" s="8">
        <v>9</v>
      </c>
      <c r="D5" s="9">
        <v>5</v>
      </c>
    </row>
    <row r="6" spans="1:4" ht="14.25" x14ac:dyDescent="0.4">
      <c r="A6" s="7" t="s">
        <v>703</v>
      </c>
      <c r="B6" s="8">
        <v>17</v>
      </c>
      <c r="C6" s="8">
        <v>22</v>
      </c>
      <c r="D6" s="9">
        <v>20</v>
      </c>
    </row>
    <row r="7" spans="1:4" ht="14.25" x14ac:dyDescent="0.4">
      <c r="A7" s="7" t="s">
        <v>704</v>
      </c>
      <c r="B7" s="8">
        <v>15</v>
      </c>
      <c r="C7" s="8" t="s">
        <v>705</v>
      </c>
      <c r="D7" s="9" t="s">
        <v>705</v>
      </c>
    </row>
    <row r="8" spans="1:4" ht="24.75" customHeight="1" x14ac:dyDescent="0.4">
      <c r="A8" s="10" t="s">
        <v>706</v>
      </c>
      <c r="B8" s="8">
        <v>32</v>
      </c>
      <c r="C8" s="8" t="s">
        <v>705</v>
      </c>
      <c r="D8" s="9" t="s">
        <v>705</v>
      </c>
    </row>
    <row r="9" spans="1:4" ht="14.25" x14ac:dyDescent="0.4">
      <c r="A9" s="1" t="s">
        <v>707</v>
      </c>
      <c r="B9" s="8"/>
      <c r="C9" s="8"/>
      <c r="D9" s="9"/>
    </row>
    <row r="10" spans="1:4" ht="19.5" customHeight="1" x14ac:dyDescent="0.4">
      <c r="A10" s="2" t="s">
        <v>708</v>
      </c>
      <c r="B10" s="8">
        <v>12</v>
      </c>
      <c r="C10" s="8" t="s">
        <v>705</v>
      </c>
      <c r="D10" s="9" t="s">
        <v>705</v>
      </c>
    </row>
    <row r="11" spans="1:4" ht="21" customHeight="1" x14ac:dyDescent="0.4">
      <c r="A11" s="2" t="s">
        <v>709</v>
      </c>
      <c r="B11" s="8">
        <v>43</v>
      </c>
      <c r="C11" s="8" t="s">
        <v>705</v>
      </c>
      <c r="D11" s="9" t="s">
        <v>705</v>
      </c>
    </row>
    <row r="12" spans="1:4" ht="21.75" customHeight="1" thickBot="1" x14ac:dyDescent="0.45">
      <c r="A12" s="3" t="s">
        <v>710</v>
      </c>
      <c r="B12" s="11">
        <v>45</v>
      </c>
      <c r="C12" s="11" t="s">
        <v>705</v>
      </c>
      <c r="D12" s="12" t="s">
        <v>705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2"/>
  <sheetViews>
    <sheetView showGridLines="0" tabSelected="1" workbookViewId="0">
      <pane ySplit="1" topLeftCell="A2" activePane="bottomLeft" state="frozen"/>
      <selection pane="bottomLeft" activeCell="G12" sqref="G12"/>
    </sheetView>
  </sheetViews>
  <sheetFormatPr defaultRowHeight="13.9" x14ac:dyDescent="0.4"/>
  <cols>
    <col min="1" max="1" width="31" customWidth="1"/>
    <col min="2" max="3" width="12" customWidth="1"/>
    <col min="4" max="4" width="4" customWidth="1"/>
    <col min="5" max="5" width="31" customWidth="1"/>
    <col min="6" max="7" width="12" customWidth="1"/>
  </cols>
  <sheetData>
    <row r="1" spans="1:7" ht="23.1" customHeight="1" x14ac:dyDescent="0.4">
      <c r="A1" s="34" t="s">
        <v>0</v>
      </c>
      <c r="B1" s="33"/>
      <c r="C1" s="33"/>
      <c r="E1" s="34" t="s">
        <v>1</v>
      </c>
      <c r="F1" s="33"/>
      <c r="G1" s="33"/>
    </row>
    <row r="2" spans="1:7" x14ac:dyDescent="0.4">
      <c r="A2" s="13" t="s">
        <v>2</v>
      </c>
      <c r="B2" s="13" t="s">
        <v>3</v>
      </c>
      <c r="C2" s="13" t="s">
        <v>4</v>
      </c>
      <c r="E2" s="13" t="s">
        <v>2</v>
      </c>
      <c r="F2" s="13" t="s">
        <v>3</v>
      </c>
      <c r="G2" s="13" t="s">
        <v>4</v>
      </c>
    </row>
    <row r="3" spans="1:7" x14ac:dyDescent="0.4">
      <c r="A3" s="14" t="s">
        <v>5</v>
      </c>
      <c r="B3" s="15">
        <f>COUNTIF(RISK进展队列GEO回末测序数据整理!$G$2:$G$323,A3)</f>
        <v>218</v>
      </c>
      <c r="C3" s="16">
        <f>B3/$B$6</f>
        <v>0.67701863354037262</v>
      </c>
      <c r="E3" s="14" t="s">
        <v>6</v>
      </c>
      <c r="F3" s="15">
        <f>COUNTIF(RISK进展队列GEO回末测序数据整理!$H$2:$H$323,E3)</f>
        <v>163</v>
      </c>
      <c r="G3" s="16">
        <f>F3/$F$7</f>
        <v>0.50621118012422361</v>
      </c>
    </row>
    <row r="4" spans="1:7" x14ac:dyDescent="0.4">
      <c r="A4" s="14" t="s">
        <v>7</v>
      </c>
      <c r="B4" s="15">
        <f>COUNTIF(RISK进展队列GEO回末测序数据整理!$G$2:$G$323,A4)</f>
        <v>62</v>
      </c>
      <c r="C4" s="16">
        <f>B4/$B$6</f>
        <v>0.19254658385093168</v>
      </c>
      <c r="E4" s="14" t="s">
        <v>8</v>
      </c>
      <c r="F4" s="15">
        <f>COUNTIF(RISK进展队列GEO回末测序数据整理!$H$2:$H$323,E4)</f>
        <v>55</v>
      </c>
      <c r="G4" s="16">
        <f>F4/$F$7</f>
        <v>0.17080745341614906</v>
      </c>
    </row>
    <row r="5" spans="1:7" x14ac:dyDescent="0.4">
      <c r="A5" s="14" t="s">
        <v>9</v>
      </c>
      <c r="B5" s="15">
        <f>COUNTIF(RISK进展队列GEO回末测序数据整理!$G$2:$G$323,A5)</f>
        <v>42</v>
      </c>
      <c r="C5" s="16">
        <f>B5/$B$6</f>
        <v>0.13043478260869565</v>
      </c>
      <c r="E5" s="14" t="s">
        <v>7</v>
      </c>
      <c r="F5" s="15">
        <f>COUNTIF(RISK进展队列GEO回末测序数据整理!$H$2:$H$323,E5)</f>
        <v>62</v>
      </c>
      <c r="G5" s="16">
        <f>F5/$F$7</f>
        <v>0.19254658385093168</v>
      </c>
    </row>
    <row r="6" spans="1:7" x14ac:dyDescent="0.4">
      <c r="A6" s="17" t="s">
        <v>10</v>
      </c>
      <c r="B6" s="17">
        <f>SUM(B3:B5)</f>
        <v>322</v>
      </c>
      <c r="C6" s="18">
        <f>SUM(C3:C5)</f>
        <v>1</v>
      </c>
      <c r="E6" s="14" t="s">
        <v>9</v>
      </c>
      <c r="F6" s="15">
        <f>COUNTIF(RISK进展队列GEO回末测序数据整理!$H$2:$H$323,E6)</f>
        <v>42</v>
      </c>
      <c r="G6" s="16">
        <f>F6/$F$7</f>
        <v>0.13043478260869565</v>
      </c>
    </row>
    <row r="7" spans="1:7" x14ac:dyDescent="0.4">
      <c r="E7" s="17" t="s">
        <v>10</v>
      </c>
      <c r="F7" s="17">
        <f>SUM(F3:F6)</f>
        <v>322</v>
      </c>
      <c r="G7" s="18">
        <f>SUM(G3:G6)</f>
        <v>1</v>
      </c>
    </row>
    <row r="9" spans="1:7" ht="23.1" customHeight="1" x14ac:dyDescent="0.4">
      <c r="A9" s="34" t="s">
        <v>11</v>
      </c>
      <c r="B9" s="33"/>
      <c r="C9" s="33"/>
      <c r="E9" s="34" t="s">
        <v>12</v>
      </c>
      <c r="F9" s="33"/>
      <c r="G9" s="33"/>
    </row>
    <row r="10" spans="1:7" x14ac:dyDescent="0.4">
      <c r="A10" s="13" t="s">
        <v>2</v>
      </c>
      <c r="B10" s="13" t="s">
        <v>3</v>
      </c>
      <c r="C10" s="13" t="s">
        <v>4</v>
      </c>
      <c r="E10" s="13" t="s">
        <v>2</v>
      </c>
      <c r="F10" s="13" t="s">
        <v>3</v>
      </c>
      <c r="G10" s="13" t="s">
        <v>4</v>
      </c>
    </row>
    <row r="11" spans="1:7" x14ac:dyDescent="0.4">
      <c r="A11" s="14" t="s">
        <v>13</v>
      </c>
      <c r="B11" s="15">
        <f>COUNTIF(RISK进展队列GEO回末测序数据整理!$I$2:$I$323,A11)</f>
        <v>162</v>
      </c>
      <c r="C11" s="16">
        <f>B11/$B$16</f>
        <v>0.50310559006211175</v>
      </c>
      <c r="E11" s="14" t="s">
        <v>14</v>
      </c>
      <c r="F11" s="15">
        <f>COUNTIF(RISK进展队列GEO回末测序数据整理!$J$2:$J$323,1)</f>
        <v>76</v>
      </c>
      <c r="G11" s="16">
        <f>F11/$F$14</f>
        <v>0.2360248447204969</v>
      </c>
    </row>
    <row r="12" spans="1:7" x14ac:dyDescent="0.4">
      <c r="A12" s="14" t="s">
        <v>15</v>
      </c>
      <c r="B12" s="15">
        <f>COUNTIF(RISK进展队列GEO回末测序数据整理!$I$2:$I$323,A12)</f>
        <v>29</v>
      </c>
      <c r="C12" s="16">
        <f>B12/$B$16</f>
        <v>9.0062111801242239E-2</v>
      </c>
      <c r="E12" s="14" t="s">
        <v>16</v>
      </c>
      <c r="F12" s="15">
        <f>COUNTIF(RISK进展队列GEO回末测序数据整理!$J$2:$J$323,0)</f>
        <v>142</v>
      </c>
      <c r="G12" s="16">
        <f>F12/$F$14</f>
        <v>0.44099378881987578</v>
      </c>
    </row>
    <row r="13" spans="1:7" x14ac:dyDescent="0.4">
      <c r="A13" s="14" t="s">
        <v>17</v>
      </c>
      <c r="B13" s="15">
        <f>COUNTIF(RISK进展队列GEO回末测序数据整理!$I$2:$I$323,A13)</f>
        <v>24</v>
      </c>
      <c r="C13" s="16">
        <f>B13/$B$16</f>
        <v>7.4534161490683232E-2</v>
      </c>
      <c r="E13" s="14" t="s">
        <v>18</v>
      </c>
      <c r="F13" s="15">
        <f>COUNTIF(RISK进展队列GEO回末测序数据整理!$J$2:$J$323,"NA")</f>
        <v>104</v>
      </c>
      <c r="G13" s="16">
        <f>F13/$F$14</f>
        <v>0.32298136645962733</v>
      </c>
    </row>
    <row r="14" spans="1:7" x14ac:dyDescent="0.4">
      <c r="A14" s="14" t="s">
        <v>19</v>
      </c>
      <c r="B14" s="15">
        <f>COUNTIF(RISK进展队列GEO回末测序数据整理!$I$2:$I$323,A14)</f>
        <v>3</v>
      </c>
      <c r="C14" s="16">
        <f>B14/$B$16</f>
        <v>9.316770186335404E-3</v>
      </c>
      <c r="E14" s="17" t="s">
        <v>10</v>
      </c>
      <c r="F14" s="17">
        <f>SUM(F11:F13)</f>
        <v>322</v>
      </c>
      <c r="G14" s="18">
        <f>SUM(G11:G13)</f>
        <v>1</v>
      </c>
    </row>
    <row r="15" spans="1:7" x14ac:dyDescent="0.4">
      <c r="A15" s="14" t="s">
        <v>18</v>
      </c>
      <c r="B15" s="15">
        <f>COUNTIF(RISK进展队列GEO回末测序数据整理!$I$2:$I$323,A15)</f>
        <v>104</v>
      </c>
      <c r="C15" s="16">
        <f>B15/$B$16</f>
        <v>0.32298136645962733</v>
      </c>
    </row>
    <row r="16" spans="1:7" x14ac:dyDescent="0.4">
      <c r="A16" s="17" t="s">
        <v>10</v>
      </c>
      <c r="B16" s="17">
        <f>SUM(B11:B15)</f>
        <v>322</v>
      </c>
      <c r="C16" s="18">
        <f>SUM(C11:C15)</f>
        <v>1</v>
      </c>
    </row>
    <row r="18" spans="1:7" ht="23.1" customHeight="1" x14ac:dyDescent="0.4">
      <c r="A18" s="32" t="s">
        <v>20</v>
      </c>
      <c r="B18" s="33"/>
      <c r="C18" s="33"/>
      <c r="D18" s="33"/>
      <c r="E18" s="33"/>
      <c r="F18" s="33"/>
      <c r="G18" s="33"/>
    </row>
    <row r="19" spans="1:7" ht="30" customHeight="1" x14ac:dyDescent="0.4">
      <c r="A19" s="35" t="s">
        <v>21</v>
      </c>
      <c r="B19" s="36"/>
      <c r="C19" s="36"/>
      <c r="D19" s="36"/>
      <c r="E19" s="36"/>
      <c r="F19" s="36"/>
      <c r="G19" s="37"/>
    </row>
    <row r="20" spans="1:7" ht="30" customHeight="1" x14ac:dyDescent="0.4">
      <c r="A20" s="35" t="s">
        <v>22</v>
      </c>
      <c r="B20" s="36"/>
      <c r="C20" s="36"/>
      <c r="D20" s="36"/>
      <c r="E20" s="36"/>
      <c r="F20" s="36"/>
      <c r="G20" s="37"/>
    </row>
    <row r="21" spans="1:7" ht="30" customHeight="1" x14ac:dyDescent="0.4">
      <c r="A21" s="35" t="s">
        <v>23</v>
      </c>
      <c r="B21" s="36"/>
      <c r="C21" s="36"/>
      <c r="D21" s="36"/>
      <c r="E21" s="36"/>
      <c r="F21" s="36"/>
      <c r="G21" s="37"/>
    </row>
    <row r="22" spans="1:7" ht="30" customHeight="1" x14ac:dyDescent="0.4">
      <c r="A22" s="35" t="s">
        <v>24</v>
      </c>
      <c r="B22" s="36"/>
      <c r="C22" s="36"/>
      <c r="D22" s="36"/>
      <c r="E22" s="36"/>
      <c r="F22" s="36"/>
      <c r="G22" s="37"/>
    </row>
  </sheetData>
  <mergeCells count="9">
    <mergeCell ref="A18:G18"/>
    <mergeCell ref="A1:C1"/>
    <mergeCell ref="A21:G21"/>
    <mergeCell ref="A22:G22"/>
    <mergeCell ref="A9:C9"/>
    <mergeCell ref="A20:G20"/>
    <mergeCell ref="E9:G9"/>
    <mergeCell ref="A19:G19"/>
    <mergeCell ref="E1:G1"/>
  </mergeCells>
  <phoneticPr fontId="1" type="noConversion"/>
  <pageMargins left="0.7" right="0.7" top="0.75" bottom="0.75" header="0.3" footer="0.3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Z324"/>
  <sheetViews>
    <sheetView showGridLines="0" workbookViewId="0">
      <pane ySplit="3" topLeftCell="A4" activePane="bottomLeft" state="frozen"/>
      <selection pane="bottomLeft"/>
    </sheetView>
  </sheetViews>
  <sheetFormatPr defaultRowHeight="13.9" x14ac:dyDescent="0.4"/>
  <cols>
    <col min="1" max="1" width="28" customWidth="1"/>
    <col min="2" max="3" width="16" customWidth="1"/>
    <col min="4" max="8" width="18" customWidth="1"/>
    <col min="9" max="9" width="36" customWidth="1"/>
    <col min="16" max="21" width="13" customWidth="1"/>
    <col min="22" max="22" width="17" customWidth="1"/>
    <col min="23" max="25" width="13" customWidth="1"/>
    <col min="26" max="26" width="19" customWidth="1"/>
  </cols>
  <sheetData>
    <row r="1" spans="1:26" ht="26.1" customHeight="1" x14ac:dyDescent="0.4">
      <c r="A1" s="19" t="s">
        <v>711</v>
      </c>
      <c r="P1" s="20" t="s">
        <v>712</v>
      </c>
    </row>
    <row r="2" spans="1:26" ht="54.95" customHeight="1" x14ac:dyDescent="0.4">
      <c r="A2" s="39" t="s">
        <v>713</v>
      </c>
      <c r="B2" s="33"/>
      <c r="C2" s="33"/>
      <c r="D2" s="33"/>
      <c r="E2" s="33"/>
      <c r="F2" s="33"/>
      <c r="G2" s="33"/>
      <c r="H2" s="33"/>
      <c r="I2" s="33"/>
      <c r="P2" s="21" t="s">
        <v>42</v>
      </c>
      <c r="Q2" s="21" t="s">
        <v>26</v>
      </c>
      <c r="R2" s="21" t="s">
        <v>714</v>
      </c>
      <c r="S2" s="21" t="s">
        <v>715</v>
      </c>
      <c r="T2" s="21" t="s">
        <v>716</v>
      </c>
      <c r="U2" s="21" t="s">
        <v>717</v>
      </c>
      <c r="V2" s="21" t="s">
        <v>718</v>
      </c>
      <c r="W2" s="21" t="s">
        <v>719</v>
      </c>
      <c r="X2" s="21" t="s">
        <v>12</v>
      </c>
      <c r="Y2" s="21" t="s">
        <v>720</v>
      </c>
      <c r="Z2" s="21" t="s">
        <v>721</v>
      </c>
    </row>
    <row r="3" spans="1:26" x14ac:dyDescent="0.4">
      <c r="P3" s="22" t="str">
        <f>RISK进展队列GEO回末测序数据整理!A2</f>
        <v>GSM1598408</v>
      </c>
      <c r="Q3" s="22" t="str">
        <f>RISK进展队列GEO回末测序数据整理!B2</f>
        <v>CCFA_Risk_001</v>
      </c>
      <c r="R3" s="22" t="str">
        <f>IF(LOWER(TRIM(RISK进展队列GEO回末测序数据整理!G2))="not ibd","Not IBD",TRIM(RISK进展队列GEO回末测序数据整理!G2))</f>
        <v>CD</v>
      </c>
      <c r="S3" s="22" t="str">
        <f>IF(LOWER(TRIM(RISK进展队列GEO回末测序数据整理!H2))="not ibd","Not IBD",TRIM(RISK进展队列GEO回末测序数据整理!H2))</f>
        <v>iCD</v>
      </c>
      <c r="T3" s="22" t="str">
        <f>IF(RISK进展队列GEO回末测序数据整理!D2="女","女性",IF(RISK进展队列GEO回末测序数据整理!D2="男","男性",TRIM(RISK进展队列GEO回末测序数据整理!D2)))</f>
        <v>女性</v>
      </c>
      <c r="U3" s="22">
        <f>RISK进展队列GEO回末测序数据整理!E2</f>
        <v>15.25</v>
      </c>
      <c r="V3" s="22" t="str">
        <f>RISK进展队列GEO回末测序数据整理!F2</f>
        <v>A1b</v>
      </c>
      <c r="W3" s="22" t="str">
        <f>IF(RISK进展队列GEO回末测序数据整理!I2="Macroscopic inflammation","Macro",IF(RISK进展队列GEO回末测序数据整理!I2="Microscopic inflammation","Micro",TRIM(RISK进展队列GEO回末测序数据整理!I2)))</f>
        <v>Macro</v>
      </c>
      <c r="X3" s="22" t="str">
        <f>IF(RISK进展队列GEO回末测序数据整理!J2=1,"Yes",IF(RISK进展队列GEO回末测序数据整理!J2=0,"No","N/A"))</f>
        <v>No</v>
      </c>
      <c r="Y3" s="22">
        <f>IF(Q3="","",IF(COUNTIF($Q$3:Q3,Q3)=1,1,0))</f>
        <v>1</v>
      </c>
      <c r="Z3" s="22">
        <f>IF(Q3="","",IF(COUNTIFS($Q$3:Q3,Q3,$R$3:R3,R3)=1,1,0))</f>
        <v>1</v>
      </c>
    </row>
    <row r="4" spans="1:26" ht="21" customHeight="1" x14ac:dyDescent="0.4">
      <c r="A4" s="23" t="s">
        <v>722</v>
      </c>
      <c r="B4" s="23"/>
      <c r="C4" s="23"/>
      <c r="D4" s="23"/>
      <c r="E4" s="23"/>
      <c r="F4" s="23"/>
      <c r="G4" s="23"/>
      <c r="H4" s="23"/>
      <c r="I4" s="23"/>
      <c r="P4" s="22" t="str">
        <f>RISK进展队列GEO回末测序数据整理!A3</f>
        <v>GSM1598409</v>
      </c>
      <c r="Q4" s="22" t="str">
        <f>RISK进展队列GEO回末测序数据整理!B3</f>
        <v>CCFA_Risk_002</v>
      </c>
      <c r="R4" s="22" t="str">
        <f>IF(LOWER(TRIM(RISK进展队列GEO回末测序数据整理!G3))="not ibd","Not IBD",TRIM(RISK进展队列GEO回末测序数据整理!G3))</f>
        <v>CD</v>
      </c>
      <c r="S4" s="22" t="str">
        <f>IF(LOWER(TRIM(RISK进展队列GEO回末测序数据整理!H3))="not ibd","Not IBD",TRIM(RISK进展队列GEO回末测序数据整理!H3))</f>
        <v>iCD</v>
      </c>
      <c r="T4" s="22" t="str">
        <f>IF(RISK进展队列GEO回末测序数据整理!D3="女","女性",IF(RISK进展队列GEO回末测序数据整理!D3="男","男性",TRIM(RISK进展队列GEO回末测序数据整理!D3)))</f>
        <v>男性</v>
      </c>
      <c r="U4" s="22">
        <f>RISK进展队列GEO回末测序数据整理!E3</f>
        <v>14.42</v>
      </c>
      <c r="V4" s="22" t="str">
        <f>RISK进展队列GEO回末测序数据整理!F3</f>
        <v>A1b</v>
      </c>
      <c r="W4" s="22" t="str">
        <f>IF(RISK进展队列GEO回末测序数据整理!I3="Macroscopic inflammation","Macro",IF(RISK进展队列GEO回末测序数据整理!I3="Microscopic inflammation","Micro",TRIM(RISK进展队列GEO回末测序数据整理!I3)))</f>
        <v>Macro</v>
      </c>
      <c r="X4" s="22" t="str">
        <f>IF(RISK进展队列GEO回末测序数据整理!J3=1,"Yes",IF(RISK进展队列GEO回末测序数据整理!J3=0,"No","N/A"))</f>
        <v>No</v>
      </c>
      <c r="Y4" s="22">
        <f>IF(Q4="","",IF(COUNTIF($Q$3:Q4,Q4)=1,1,0))</f>
        <v>1</v>
      </c>
      <c r="Z4" s="22">
        <f>IF(Q4="","",IF(COUNTIFS($Q$3:Q4,Q4,$R$3:R4,R4)=1,1,0))</f>
        <v>1</v>
      </c>
    </row>
    <row r="5" spans="1:26" ht="30" customHeight="1" x14ac:dyDescent="0.4">
      <c r="A5" s="24" t="s">
        <v>723</v>
      </c>
      <c r="B5" s="24" t="s">
        <v>724</v>
      </c>
      <c r="C5" s="24" t="s">
        <v>725</v>
      </c>
      <c r="D5" s="24" t="s">
        <v>726</v>
      </c>
      <c r="P5" s="22" t="str">
        <f>RISK进展队列GEO回末测序数据整理!A4</f>
        <v>GSM1598410</v>
      </c>
      <c r="Q5" s="22" t="str">
        <f>RISK进展队列GEO回末测序数据整理!B4</f>
        <v>CCFA_Risk_003</v>
      </c>
      <c r="R5" s="22" t="str">
        <f>IF(LOWER(TRIM(RISK进展队列GEO回末测序数据整理!G4))="not ibd","Not IBD",TRIM(RISK进展队列GEO回末测序数据整理!G4))</f>
        <v>CD</v>
      </c>
      <c r="S5" s="22" t="str">
        <f>IF(LOWER(TRIM(RISK进展队列GEO回末测序数据整理!H4))="not ibd","Not IBD",TRIM(RISK进展队列GEO回末测序数据整理!H4))</f>
        <v>iCD</v>
      </c>
      <c r="T5" s="22" t="str">
        <f>IF(RISK进展队列GEO回末测序数据整理!D4="女","女性",IF(RISK进展队列GEO回末测序数据整理!D4="男","男性",TRIM(RISK进展队列GEO回末测序数据整理!D4)))</f>
        <v>女性</v>
      </c>
      <c r="U5" s="22">
        <f>RISK进展队列GEO回末测序数据整理!E4</f>
        <v>12.5</v>
      </c>
      <c r="V5" s="22" t="str">
        <f>RISK进展队列GEO回末测序数据整理!F4</f>
        <v>A1b</v>
      </c>
      <c r="W5" s="22" t="str">
        <f>IF(RISK进展队列GEO回末测序数据整理!I4="Macroscopic inflammation","Macro",IF(RISK进展队列GEO回末测序数据整理!I4="Microscopic inflammation","Micro",TRIM(RISK进展队列GEO回末测序数据整理!I4)))</f>
        <v>Macro</v>
      </c>
      <c r="X5" s="22" t="str">
        <f>IF(RISK进展队列GEO回末测序数据整理!J4=1,"Yes",IF(RISK进展队列GEO回末测序数据整理!J4=0,"No","N/A"))</f>
        <v>No</v>
      </c>
      <c r="Y5" s="22">
        <f>IF(Q5="","",IF(COUNTIF($Q$3:Q5,Q5)=1,1,0))</f>
        <v>1</v>
      </c>
      <c r="Z5" s="22">
        <f>IF(Q5="","",IF(COUNTIFS($Q$3:Q5,Q5,$R$3:R5,R5)=1,1,0))</f>
        <v>1</v>
      </c>
    </row>
    <row r="6" spans="1:26" x14ac:dyDescent="0.4">
      <c r="A6" s="25" t="s">
        <v>3</v>
      </c>
      <c r="B6" s="26">
        <f>COUNTA($P$3:$P$324)</f>
        <v>322</v>
      </c>
      <c r="C6" s="25" t="s">
        <v>727</v>
      </c>
      <c r="D6" s="25" t="s">
        <v>728</v>
      </c>
      <c r="P6" s="22" t="str">
        <f>RISK进展队列GEO回末测序数据整理!A5</f>
        <v>GSM1598411</v>
      </c>
      <c r="Q6" s="22" t="str">
        <f>RISK进展队列GEO回末测序数据整理!B5</f>
        <v>CCFA_Risk_004</v>
      </c>
      <c r="R6" s="22" t="str">
        <f>IF(LOWER(TRIM(RISK进展队列GEO回末测序数据整理!G5))="not ibd","Not IBD",TRIM(RISK进展队列GEO回末测序数据整理!G5))</f>
        <v>CD</v>
      </c>
      <c r="S6" s="22" t="str">
        <f>IF(LOWER(TRIM(RISK进展队列GEO回末测序数据整理!H5))="not ibd","Not IBD",TRIM(RISK进展队列GEO回末测序数据整理!H5))</f>
        <v>iCD</v>
      </c>
      <c r="T6" s="22" t="str">
        <f>IF(RISK进展队列GEO回末测序数据整理!D5="女","女性",IF(RISK进展队列GEO回末测序数据整理!D5="男","男性",TRIM(RISK进展队列GEO回末测序数据整理!D5)))</f>
        <v>男性</v>
      </c>
      <c r="U6" s="22">
        <f>RISK进展队列GEO回末测序数据整理!E5</f>
        <v>14.58</v>
      </c>
      <c r="V6" s="22" t="str">
        <f>RISK进展队列GEO回末测序数据整理!F5</f>
        <v>A1b</v>
      </c>
      <c r="W6" s="22" t="str">
        <f>IF(RISK进展队列GEO回末测序数据整理!I5="Macroscopic inflammation","Macro",IF(RISK进展队列GEO回末测序数据整理!I5="Microscopic inflammation","Micro",TRIM(RISK进展队列GEO回末测序数据整理!I5)))</f>
        <v>Macro</v>
      </c>
      <c r="X6" s="22" t="str">
        <f>IF(RISK进展队列GEO回末测序数据整理!J5=1,"Yes",IF(RISK进展队列GEO回末测序数据整理!J5=0,"No","N/A"))</f>
        <v>No</v>
      </c>
      <c r="Y6" s="22">
        <f>IF(Q6="","",IF(COUNTIF($Q$3:Q6,Q6)=1,1,0))</f>
        <v>1</v>
      </c>
      <c r="Z6" s="22">
        <f>IF(Q6="","",IF(COUNTIFS($Q$3:Q6,Q6,$R$3:R6,R6)=1,1,0))</f>
        <v>1</v>
      </c>
    </row>
    <row r="7" spans="1:26" x14ac:dyDescent="0.4">
      <c r="A7" s="25" t="s">
        <v>729</v>
      </c>
      <c r="B7" s="26">
        <f>SUM($Y$3:$Y$324)</f>
        <v>322</v>
      </c>
      <c r="C7" s="25" t="s">
        <v>730</v>
      </c>
      <c r="D7" s="25" t="s">
        <v>731</v>
      </c>
      <c r="P7" s="22" t="str">
        <f>RISK进展队列GEO回末测序数据整理!A6</f>
        <v>GSM1598412</v>
      </c>
      <c r="Q7" s="22" t="str">
        <f>RISK进展队列GEO回末测序数据整理!B6</f>
        <v>CCFA_Risk_005</v>
      </c>
      <c r="R7" s="22" t="str">
        <f>IF(LOWER(TRIM(RISK进展队列GEO回末测序数据整理!G6))="not ibd","Not IBD",TRIM(RISK进展队列GEO回末测序数据整理!G6))</f>
        <v>CD</v>
      </c>
      <c r="S7" s="22" t="str">
        <f>IF(LOWER(TRIM(RISK进展队列GEO回末测序数据整理!H6))="not ibd","Not IBD",TRIM(RISK进展队列GEO回末测序数据整理!H6))</f>
        <v>iCD</v>
      </c>
      <c r="T7" s="22" t="str">
        <f>IF(RISK进展队列GEO回末测序数据整理!D6="女","女性",IF(RISK进展队列GEO回末测序数据整理!D6="男","男性",TRIM(RISK进展队列GEO回末测序数据整理!D6)))</f>
        <v>女性</v>
      </c>
      <c r="U7" s="22">
        <f>RISK进展队列GEO回末测序数据整理!E6</f>
        <v>10.17</v>
      </c>
      <c r="V7" s="22" t="str">
        <f>RISK进展队列GEO回末测序数据整理!F6</f>
        <v>A1b</v>
      </c>
      <c r="W7" s="22" t="str">
        <f>IF(RISK进展队列GEO回末测序数据整理!I6="Macroscopic inflammation","Macro",IF(RISK进展队列GEO回末测序数据整理!I6="Microscopic inflammation","Micro",TRIM(RISK进展队列GEO回末测序数据整理!I6)))</f>
        <v>Macro</v>
      </c>
      <c r="X7" s="22" t="str">
        <f>IF(RISK进展队列GEO回末测序数据整理!J6=1,"Yes",IF(RISK进展队列GEO回末测序数据整理!J6=0,"No","N/A"))</f>
        <v>No</v>
      </c>
      <c r="Y7" s="22">
        <f>IF(Q7="","",IF(COUNTIF($Q$3:Q7,Q7)=1,1,0))</f>
        <v>1</v>
      </c>
      <c r="Z7" s="22">
        <f>IF(Q7="","",IF(COUNTIFS($Q$3:Q7,Q7,$R$3:R7,R7)=1,1,0))</f>
        <v>1</v>
      </c>
    </row>
    <row r="8" spans="1:26" x14ac:dyDescent="0.4">
      <c r="A8" s="25" t="s">
        <v>732</v>
      </c>
      <c r="B8" s="27">
        <f>IFERROR(B6/B7,"")</f>
        <v>1</v>
      </c>
      <c r="C8" s="25" t="s">
        <v>733</v>
      </c>
      <c r="D8" s="25" t="s">
        <v>734</v>
      </c>
      <c r="P8" s="22" t="str">
        <f>RISK进展队列GEO回末测序数据整理!A7</f>
        <v>GSM1598413</v>
      </c>
      <c r="Q8" s="22" t="str">
        <f>RISK进展队列GEO回末测序数据整理!B7</f>
        <v>CCFA_Risk_006</v>
      </c>
      <c r="R8" s="22" t="str">
        <f>IF(LOWER(TRIM(RISK进展队列GEO回末测序数据整理!G7))="not ibd","Not IBD",TRIM(RISK进展队列GEO回末测序数据整理!G7))</f>
        <v>CD</v>
      </c>
      <c r="S8" s="22" t="str">
        <f>IF(LOWER(TRIM(RISK进展队列GEO回末测序数据整理!H7))="not ibd","Not IBD",TRIM(RISK进展队列GEO回末测序数据整理!H7))</f>
        <v>iCD</v>
      </c>
      <c r="T8" s="22" t="str">
        <f>IF(RISK进展队列GEO回末测序数据整理!D7="女","女性",IF(RISK进展队列GEO回末测序数据整理!D7="男","男性",TRIM(RISK进展队列GEO回末测序数据整理!D7)))</f>
        <v>女性</v>
      </c>
      <c r="U8" s="22">
        <f>RISK进展队列GEO回末测序数据整理!E7</f>
        <v>15.75</v>
      </c>
      <c r="V8" s="22" t="str">
        <f>RISK进展队列GEO回末测序数据整理!F7</f>
        <v>A1b</v>
      </c>
      <c r="W8" s="22" t="str">
        <f>IF(RISK进展队列GEO回末测序数据整理!I7="Macroscopic inflammation","Macro",IF(RISK进展队列GEO回末测序数据整理!I7="Microscopic inflammation","Micro",TRIM(RISK进展队列GEO回末测序数据整理!I7)))</f>
        <v>Macro</v>
      </c>
      <c r="X8" s="22" t="str">
        <f>IF(RISK进展队列GEO回末测序数据整理!J7=1,"Yes",IF(RISK进展队列GEO回末测序数据整理!J7=0,"No","N/A"))</f>
        <v>Yes</v>
      </c>
      <c r="Y8" s="22">
        <f>IF(Q8="","",IF(COUNTIF($Q$3:Q8,Q8)=1,1,0))</f>
        <v>1</v>
      </c>
      <c r="Z8" s="22">
        <f>IF(Q8="","",IF(COUNTIFS($Q$3:Q8,Q8,$R$3:R8,R8)=1,1,0))</f>
        <v>1</v>
      </c>
    </row>
    <row r="9" spans="1:26" x14ac:dyDescent="0.4">
      <c r="P9" s="22" t="str">
        <f>RISK进展队列GEO回末测序数据整理!A8</f>
        <v>GSM1598414</v>
      </c>
      <c r="Q9" s="22" t="str">
        <f>RISK进展队列GEO回末测序数据整理!B8</f>
        <v>CCFA_Risk_007</v>
      </c>
      <c r="R9" s="22" t="str">
        <f>IF(LOWER(TRIM(RISK进展队列GEO回末测序数据整理!G8))="not ibd","Not IBD",TRIM(RISK进展队列GEO回末测序数据整理!G8))</f>
        <v>CD</v>
      </c>
      <c r="S9" s="22" t="str">
        <f>IF(LOWER(TRIM(RISK进展队列GEO回末测序数据整理!H8))="not ibd","Not IBD",TRIM(RISK进展队列GEO回末测序数据整理!H8))</f>
        <v>iCD</v>
      </c>
      <c r="T9" s="22" t="str">
        <f>IF(RISK进展队列GEO回末测序数据整理!D8="女","女性",IF(RISK进展队列GEO回末测序数据整理!D8="男","男性",TRIM(RISK进展队列GEO回末测序数据整理!D8)))</f>
        <v>男性</v>
      </c>
      <c r="U9" s="22">
        <f>RISK进展队列GEO回末测序数据整理!E8</f>
        <v>14.33</v>
      </c>
      <c r="V9" s="22" t="str">
        <f>RISK进展队列GEO回末测序数据整理!F8</f>
        <v>A1b</v>
      </c>
      <c r="W9" s="22" t="str">
        <f>IF(RISK进展队列GEO回末测序数据整理!I8="Macroscopic inflammation","Macro",IF(RISK进展队列GEO回末测序数据整理!I8="Microscopic inflammation","Micro",TRIM(RISK进展队列GEO回末测序数据整理!I8)))</f>
        <v>Macro</v>
      </c>
      <c r="X9" s="22" t="str">
        <f>IF(RISK进展队列GEO回末测序数据整理!J8=1,"Yes",IF(RISK进展队列GEO回末测序数据整理!J8=0,"No","N/A"))</f>
        <v>No</v>
      </c>
      <c r="Y9" s="22">
        <f>IF(Q9="","",IF(COUNTIF($Q$3:Q9,Q9)=1,1,0))</f>
        <v>1</v>
      </c>
      <c r="Z9" s="22">
        <f>IF(Q9="","",IF(COUNTIFS($Q$3:Q9,Q9,$R$3:R9,R9)=1,1,0))</f>
        <v>1</v>
      </c>
    </row>
    <row r="10" spans="1:26" ht="21" customHeight="1" x14ac:dyDescent="0.4">
      <c r="A10" s="23" t="s">
        <v>735</v>
      </c>
      <c r="B10" s="23"/>
      <c r="C10" s="23"/>
      <c r="D10" s="23"/>
      <c r="E10" s="23"/>
      <c r="F10" s="23"/>
      <c r="G10" s="23"/>
      <c r="H10" s="23"/>
      <c r="I10" s="23"/>
      <c r="P10" s="22" t="str">
        <f>RISK进展队列GEO回末测序数据整理!A9</f>
        <v>GSM1598415</v>
      </c>
      <c r="Q10" s="22" t="str">
        <f>RISK进展队列GEO回末测序数据整理!B9</f>
        <v>CCFA_Risk_008</v>
      </c>
      <c r="R10" s="22" t="str">
        <f>IF(LOWER(TRIM(RISK进展队列GEO回末测序数据整理!G9))="not ibd","Not IBD",TRIM(RISK进展队列GEO回末测序数据整理!G9))</f>
        <v>CD</v>
      </c>
      <c r="S10" s="22" t="str">
        <f>IF(LOWER(TRIM(RISK进展队列GEO回末测序数据整理!H9))="not ibd","Not IBD",TRIM(RISK进展队列GEO回末测序数据整理!H9))</f>
        <v>cCD</v>
      </c>
      <c r="T10" s="22" t="str">
        <f>IF(RISK进展队列GEO回末测序数据整理!D9="女","女性",IF(RISK进展队列GEO回末测序数据整理!D9="男","男性",TRIM(RISK进展队列GEO回末测序数据整理!D9)))</f>
        <v>男性</v>
      </c>
      <c r="U10" s="22">
        <f>RISK进展队列GEO回末测序数据整理!E9</f>
        <v>11.42</v>
      </c>
      <c r="V10" s="22" t="str">
        <f>RISK进展队列GEO回末测序数据整理!F9</f>
        <v>A1b</v>
      </c>
      <c r="W10" s="22" t="str">
        <f>IF(RISK进展队列GEO回末测序数据整理!I9="Macroscopic inflammation","Macro",IF(RISK进展队列GEO回末测序数据整理!I9="Microscopic inflammation","Micro",TRIM(RISK进展队列GEO回末测序数据整理!I9)))</f>
        <v>Normal</v>
      </c>
      <c r="X10" s="22" t="str">
        <f>IF(RISK进展队列GEO回末测序数据整理!J9=1,"Yes",IF(RISK进展队列GEO回末测序数据整理!J9=0,"No","N/A"))</f>
        <v>No</v>
      </c>
      <c r="Y10" s="22">
        <f>IF(Q10="","",IF(COUNTIF($Q$3:Q10,Q10)=1,1,0))</f>
        <v>1</v>
      </c>
      <c r="Z10" s="22">
        <f>IF(Q10="","",IF(COUNTIFS($Q$3:Q10,Q10,$R$3:R10,R10)=1,1,0))</f>
        <v>1</v>
      </c>
    </row>
    <row r="11" spans="1:26" ht="30" customHeight="1" x14ac:dyDescent="0.4">
      <c r="A11" s="24" t="s">
        <v>736</v>
      </c>
      <c r="B11" s="24" t="s">
        <v>737</v>
      </c>
      <c r="C11" s="24" t="s">
        <v>738</v>
      </c>
      <c r="D11" s="24" t="s">
        <v>739</v>
      </c>
      <c r="P11" s="22" t="str">
        <f>RISK进展队列GEO回末测序数据整理!A10</f>
        <v>GSM1598416</v>
      </c>
      <c r="Q11" s="22" t="str">
        <f>RISK进展队列GEO回末测序数据整理!B10</f>
        <v>CCFA_Risk_009</v>
      </c>
      <c r="R11" s="22" t="str">
        <f>IF(LOWER(TRIM(RISK进展队列GEO回末测序数据整理!G10))="not ibd","Not IBD",TRIM(RISK进展队列GEO回末测序数据整理!G10))</f>
        <v>CD</v>
      </c>
      <c r="S11" s="22" t="str">
        <f>IF(LOWER(TRIM(RISK进展队列GEO回末测序数据整理!H10))="not ibd","Not IBD",TRIM(RISK进展队列GEO回末测序数据整理!H10))</f>
        <v>iCD</v>
      </c>
      <c r="T11" s="22" t="str">
        <f>IF(RISK进展队列GEO回末测序数据整理!D10="女","女性",IF(RISK进展队列GEO回末测序数据整理!D10="男","男性",TRIM(RISK进展队列GEO回末测序数据整理!D10)))</f>
        <v>女性</v>
      </c>
      <c r="U11" s="22">
        <f>RISK进展队列GEO回末测序数据整理!E10</f>
        <v>9</v>
      </c>
      <c r="V11" s="22" t="str">
        <f>RISK进展队列GEO回末测序数据整理!F10</f>
        <v>A1a</v>
      </c>
      <c r="W11" s="22" t="str">
        <f>IF(RISK进展队列GEO回末测序数据整理!I10="Macroscopic inflammation","Macro",IF(RISK进展队列GEO回末测序数据整理!I10="Microscopic inflammation","Micro",TRIM(RISK进展队列GEO回末测序数据整理!I10)))</f>
        <v>Macro</v>
      </c>
      <c r="X11" s="22" t="str">
        <f>IF(RISK进展队列GEO回末测序数据整理!J10=1,"Yes",IF(RISK进展队列GEO回末测序数据整理!J10=0,"No","N/A"))</f>
        <v>No</v>
      </c>
      <c r="Y11" s="22">
        <f>IF(Q11="","",IF(COUNTIF($Q$3:Q11,Q11)=1,1,0))</f>
        <v>1</v>
      </c>
      <c r="Z11" s="22">
        <f>IF(Q11="","",IF(COUNTIFS($Q$3:Q11,Q11,$R$3:R11,R11)=1,1,0))</f>
        <v>1</v>
      </c>
    </row>
    <row r="12" spans="1:26" ht="25.5" x14ac:dyDescent="0.4">
      <c r="A12" s="25" t="s">
        <v>5</v>
      </c>
      <c r="B12" s="26">
        <f>SUMIFS($Z$3:$Z$324,$R$3:$R$324,A12)</f>
        <v>218</v>
      </c>
      <c r="C12" s="28">
        <f>IFERROR(B12/$B$15,"")</f>
        <v>0.67701863354037262</v>
      </c>
      <c r="D12" s="25" t="s">
        <v>740</v>
      </c>
      <c r="P12" s="22" t="str">
        <f>RISK进展队列GEO回末测序数据整理!A11</f>
        <v>GSM1598417</v>
      </c>
      <c r="Q12" s="22" t="str">
        <f>RISK进展队列GEO回末测序数据整理!B11</f>
        <v>CCFA_Risk_010</v>
      </c>
      <c r="R12" s="22" t="str">
        <f>IF(LOWER(TRIM(RISK进展队列GEO回末测序数据整理!G11))="not ibd","Not IBD",TRIM(RISK进展队列GEO回末测序数据整理!G11))</f>
        <v>Not IBD</v>
      </c>
      <c r="S12" s="22" t="str">
        <f>IF(LOWER(TRIM(RISK进展队列GEO回末测序数据整理!H11))="not ibd","Not IBD",TRIM(RISK进展队列GEO回末测序数据整理!H11))</f>
        <v>Not IBD</v>
      </c>
      <c r="T12" s="22" t="str">
        <f>IF(RISK进展队列GEO回末测序数据整理!D11="女","女性",IF(RISK进展队列GEO回末测序数据整理!D11="男","男性",TRIM(RISK进展队列GEO回末测序数据整理!D11)))</f>
        <v>男性</v>
      </c>
      <c r="U12" s="22">
        <f>RISK进展队列GEO回末测序数据整理!E11</f>
        <v>10.33</v>
      </c>
      <c r="V12" s="22" t="str">
        <f>RISK进展队列GEO回末测序数据整理!F11</f>
        <v>A1b</v>
      </c>
      <c r="W12" s="22" t="str">
        <f>IF(RISK进展队列GEO回末测序数据整理!I11="Macroscopic inflammation","Macro",IF(RISK进展队列GEO回末测序数据整理!I11="Microscopic inflammation","Micro",TRIM(RISK进展队列GEO回末测序数据整理!I11)))</f>
        <v>NA</v>
      </c>
      <c r="X12" s="22" t="str">
        <f>IF(RISK进展队列GEO回末测序数据整理!J11=1,"Yes",IF(RISK进展队列GEO回末测序数据整理!J11=0,"No","N/A"))</f>
        <v>N/A</v>
      </c>
      <c r="Y12" s="22">
        <f>IF(Q12="","",IF(COUNTIF($Q$3:Q12,Q12)=1,1,0))</f>
        <v>1</v>
      </c>
      <c r="Z12" s="22">
        <f>IF(Q12="","",IF(COUNTIFS($Q$3:Q12,Q12,$R$3:R12,R12)=1,1,0))</f>
        <v>1</v>
      </c>
    </row>
    <row r="13" spans="1:26" ht="25.5" x14ac:dyDescent="0.4">
      <c r="A13" s="25" t="s">
        <v>7</v>
      </c>
      <c r="B13" s="26">
        <f>SUMIFS($Z$3:$Z$324,$R$3:$R$324,A13)</f>
        <v>62</v>
      </c>
      <c r="C13" s="28">
        <f>IFERROR(B13/$B$15,"")</f>
        <v>0.19254658385093168</v>
      </c>
      <c r="D13" s="25" t="s">
        <v>740</v>
      </c>
      <c r="P13" s="22" t="str">
        <f>RISK进展队列GEO回末测序数据整理!A12</f>
        <v>GSM1598418</v>
      </c>
      <c r="Q13" s="22" t="str">
        <f>RISK进展队列GEO回末测序数据整理!B12</f>
        <v>CCFA_Risk_011</v>
      </c>
      <c r="R13" s="22" t="str">
        <f>IF(LOWER(TRIM(RISK进展队列GEO回末测序数据整理!G12))="not ibd","Not IBD",TRIM(RISK进展队列GEO回末测序数据整理!G12))</f>
        <v>Not IBD</v>
      </c>
      <c r="S13" s="22" t="str">
        <f>IF(LOWER(TRIM(RISK进展队列GEO回末测序数据整理!H12))="not ibd","Not IBD",TRIM(RISK进展队列GEO回末测序数据整理!H12))</f>
        <v>Not IBD</v>
      </c>
      <c r="T13" s="22" t="str">
        <f>IF(RISK进展队列GEO回末测序数据整理!D12="女","女性",IF(RISK进展队列GEO回末测序数据整理!D12="男","男性",TRIM(RISK进展队列GEO回末测序数据整理!D12)))</f>
        <v>男性</v>
      </c>
      <c r="U13" s="22">
        <f>RISK进展队列GEO回末测序数据整理!E12</f>
        <v>10.83</v>
      </c>
      <c r="V13" s="22" t="str">
        <f>RISK进展队列GEO回末测序数据整理!F12</f>
        <v>A1b</v>
      </c>
      <c r="W13" s="22" t="str">
        <f>IF(RISK进展队列GEO回末测序数据整理!I12="Macroscopic inflammation","Macro",IF(RISK进展队列GEO回末测序数据整理!I12="Microscopic inflammation","Micro",TRIM(RISK进展队列GEO回末测序数据整理!I12)))</f>
        <v>NA</v>
      </c>
      <c r="X13" s="22" t="str">
        <f>IF(RISK进展队列GEO回末测序数据整理!J12=1,"Yes",IF(RISK进展队列GEO回末测序数据整理!J12=0,"No","N/A"))</f>
        <v>N/A</v>
      </c>
      <c r="Y13" s="22">
        <f>IF(Q13="","",IF(COUNTIF($Q$3:Q13,Q13)=1,1,0))</f>
        <v>1</v>
      </c>
      <c r="Z13" s="22">
        <f>IF(Q13="","",IF(COUNTIFS($Q$3:Q13,Q13,$R$3:R13,R13)=1,1,0))</f>
        <v>1</v>
      </c>
    </row>
    <row r="14" spans="1:26" ht="25.5" x14ac:dyDescent="0.4">
      <c r="A14" s="25" t="s">
        <v>9</v>
      </c>
      <c r="B14" s="26">
        <f>SUMIFS($Z$3:$Z$324,$R$3:$R$324,A14)</f>
        <v>42</v>
      </c>
      <c r="C14" s="28">
        <f>IFERROR(B14/$B$15,"")</f>
        <v>0.13043478260869565</v>
      </c>
      <c r="D14" s="25" t="s">
        <v>740</v>
      </c>
      <c r="P14" s="22" t="str">
        <f>RISK进展队列GEO回末测序数据整理!A13</f>
        <v>GSM1598419</v>
      </c>
      <c r="Q14" s="22" t="str">
        <f>RISK进展队列GEO回末测序数据整理!B13</f>
        <v>CCFA_Risk_012</v>
      </c>
      <c r="R14" s="22" t="str">
        <f>IF(LOWER(TRIM(RISK进展队列GEO回末测序数据整理!G13))="not ibd","Not IBD",TRIM(RISK进展队列GEO回末测序数据整理!G13))</f>
        <v>CD</v>
      </c>
      <c r="S14" s="22" t="str">
        <f>IF(LOWER(TRIM(RISK进展队列GEO回末测序数据整理!H13))="not ibd","Not IBD",TRIM(RISK进展队列GEO回末测序数据整理!H13))</f>
        <v>cCD</v>
      </c>
      <c r="T14" s="22" t="str">
        <f>IF(RISK进展队列GEO回末测序数据整理!D13="女","女性",IF(RISK进展队列GEO回末测序数据整理!D13="男","男性",TRIM(RISK进展队列GEO回末测序数据整理!D13)))</f>
        <v>女性</v>
      </c>
      <c r="U14" s="22">
        <f>RISK进展队列GEO回末测序数据整理!E13</f>
        <v>13.92</v>
      </c>
      <c r="V14" s="22" t="str">
        <f>RISK进展队列GEO回末测序数据整理!F13</f>
        <v>A1b</v>
      </c>
      <c r="W14" s="22" t="str">
        <f>IF(RISK进展队列GEO回末测序数据整理!I13="Macroscopic inflammation","Macro",IF(RISK进展队列GEO回末测序数据整理!I13="Microscopic inflammation","Micro",TRIM(RISK进展队列GEO回末测序数据整理!I13)))</f>
        <v>Micro</v>
      </c>
      <c r="X14" s="22" t="str">
        <f>IF(RISK进展队列GEO回末测序数据整理!J13=1,"Yes",IF(RISK进展队列GEO回末测序数据整理!J13=0,"No","N/A"))</f>
        <v>No</v>
      </c>
      <c r="Y14" s="22">
        <f>IF(Q14="","",IF(COUNTIF($Q$3:Q14,Q14)=1,1,0))</f>
        <v>1</v>
      </c>
      <c r="Z14" s="22">
        <f>IF(Q14="","",IF(COUNTIFS($Q$3:Q14,Q14,$R$3:R14,R14)=1,1,0))</f>
        <v>1</v>
      </c>
    </row>
    <row r="15" spans="1:26" x14ac:dyDescent="0.4">
      <c r="A15" s="29" t="s">
        <v>10</v>
      </c>
      <c r="B15" s="30">
        <f>SUM(B12:B14)</f>
        <v>322</v>
      </c>
      <c r="C15" s="31">
        <f>SUM(C12:C14)</f>
        <v>1</v>
      </c>
      <c r="D15" s="29"/>
      <c r="P15" s="22" t="str">
        <f>RISK进展队列GEO回末测序数据整理!A14</f>
        <v>GSM1598420</v>
      </c>
      <c r="Q15" s="22" t="str">
        <f>RISK进展队列GEO回末测序数据整理!B14</f>
        <v>CCFA_Risk_013</v>
      </c>
      <c r="R15" s="22" t="str">
        <f>IF(LOWER(TRIM(RISK进展队列GEO回末测序数据整理!G14))="not ibd","Not IBD",TRIM(RISK进展队列GEO回末测序数据整理!G14))</f>
        <v>CD</v>
      </c>
      <c r="S15" s="22" t="str">
        <f>IF(LOWER(TRIM(RISK进展队列GEO回末测序数据整理!H14))="not ibd","Not IBD",TRIM(RISK进展队列GEO回末测序数据整理!H14))</f>
        <v>iCD</v>
      </c>
      <c r="T15" s="22" t="str">
        <f>IF(RISK进展队列GEO回末测序数据整理!D14="女","女性",IF(RISK进展队列GEO回末测序数据整理!D14="男","男性",TRIM(RISK进展队列GEO回末测序数据整理!D14)))</f>
        <v>男性</v>
      </c>
      <c r="U15" s="22">
        <f>RISK进展队列GEO回末测序数据整理!E14</f>
        <v>9.25</v>
      </c>
      <c r="V15" s="22" t="str">
        <f>RISK进展队列GEO回末测序数据整理!F14</f>
        <v>A1a</v>
      </c>
      <c r="W15" s="22" t="str">
        <f>IF(RISK进展队列GEO回末测序数据整理!I14="Macroscopic inflammation","Macro",IF(RISK进展队列GEO回末测序数据整理!I14="Microscopic inflammation","Micro",TRIM(RISK进展队列GEO回末测序数据整理!I14)))</f>
        <v>Macro</v>
      </c>
      <c r="X15" s="22" t="str">
        <f>IF(RISK进展队列GEO回末测序数据整理!J14=1,"Yes",IF(RISK进展队列GEO回末测序数据整理!J14=0,"No","N/A"))</f>
        <v>No</v>
      </c>
      <c r="Y15" s="22">
        <f>IF(Q15="","",IF(COUNTIF($Q$3:Q15,Q15)=1,1,0))</f>
        <v>1</v>
      </c>
      <c r="Z15" s="22">
        <f>IF(Q15="","",IF(COUNTIFS($Q$3:Q15,Q15,$R$3:R15,R15)=1,1,0))</f>
        <v>1</v>
      </c>
    </row>
    <row r="16" spans="1:26" x14ac:dyDescent="0.4">
      <c r="P16" s="22" t="str">
        <f>RISK进展队列GEO回末测序数据整理!A15</f>
        <v>GSM1598421</v>
      </c>
      <c r="Q16" s="22" t="str">
        <f>RISK进展队列GEO回末测序数据整理!B15</f>
        <v>CCFA_Risk_014</v>
      </c>
      <c r="R16" s="22" t="str">
        <f>IF(LOWER(TRIM(RISK进展队列GEO回末测序数据整理!G15))="not ibd","Not IBD",TRIM(RISK进展队列GEO回末测序数据整理!G15))</f>
        <v>Not IBD</v>
      </c>
      <c r="S16" s="22" t="str">
        <f>IF(LOWER(TRIM(RISK进展队列GEO回末测序数据整理!H15))="not ibd","Not IBD",TRIM(RISK进展队列GEO回末测序数据整理!H15))</f>
        <v>Not IBD</v>
      </c>
      <c r="T16" s="22" t="str">
        <f>IF(RISK进展队列GEO回末测序数据整理!D15="女","女性",IF(RISK进展队列GEO回末测序数据整理!D15="男","男性",TRIM(RISK进展队列GEO回末测序数据整理!D15)))</f>
        <v>女性</v>
      </c>
      <c r="U16" s="22">
        <f>RISK进展队列GEO回末测序数据整理!E15</f>
        <v>9</v>
      </c>
      <c r="V16" s="22" t="str">
        <f>RISK进展队列GEO回末测序数据整理!F15</f>
        <v>A1a</v>
      </c>
      <c r="W16" s="22" t="str">
        <f>IF(RISK进展队列GEO回末测序数据整理!I15="Macroscopic inflammation","Macro",IF(RISK进展队列GEO回末测序数据整理!I15="Microscopic inflammation","Micro",TRIM(RISK进展队列GEO回末测序数据整理!I15)))</f>
        <v>NA</v>
      </c>
      <c r="X16" s="22" t="str">
        <f>IF(RISK进展队列GEO回末测序数据整理!J15=1,"Yes",IF(RISK进展队列GEO回末测序数据整理!J15=0,"No","N/A"))</f>
        <v>N/A</v>
      </c>
      <c r="Y16" s="22">
        <f>IF(Q16="","",IF(COUNTIF($Q$3:Q16,Q16)=1,1,0))</f>
        <v>1</v>
      </c>
      <c r="Z16" s="22">
        <f>IF(Q16="","",IF(COUNTIFS($Q$3:Q16,Q16,$R$3:R16,R16)=1,1,0))</f>
        <v>1</v>
      </c>
    </row>
    <row r="17" spans="1:26" ht="21" customHeight="1" x14ac:dyDescent="0.4">
      <c r="A17" s="23" t="s">
        <v>741</v>
      </c>
      <c r="B17" s="23"/>
      <c r="C17" s="23"/>
      <c r="D17" s="23"/>
      <c r="E17" s="23"/>
      <c r="F17" s="23"/>
      <c r="G17" s="23"/>
      <c r="H17" s="23"/>
      <c r="I17" s="23"/>
      <c r="P17" s="22" t="str">
        <f>RISK进展队列GEO回末测序数据整理!A16</f>
        <v>GSM1598422</v>
      </c>
      <c r="Q17" s="22" t="str">
        <f>RISK进展队列GEO回末测序数据整理!B16</f>
        <v>CCFA_Risk_015</v>
      </c>
      <c r="R17" s="22" t="str">
        <f>IF(LOWER(TRIM(RISK进展队列GEO回末测序数据整理!G16))="not ibd","Not IBD",TRIM(RISK进展队列GEO回末测序数据整理!G16))</f>
        <v>CD</v>
      </c>
      <c r="S17" s="22" t="str">
        <f>IF(LOWER(TRIM(RISK进展队列GEO回末测序数据整理!H16))="not ibd","Not IBD",TRIM(RISK进展队列GEO回末测序数据整理!H16))</f>
        <v>iCD</v>
      </c>
      <c r="T17" s="22" t="str">
        <f>IF(RISK进展队列GEO回末测序数据整理!D16="女","女性",IF(RISK进展队列GEO回末测序数据整理!D16="男","男性",TRIM(RISK进展队列GEO回末测序数据整理!D16)))</f>
        <v>男性</v>
      </c>
      <c r="U17" s="22">
        <f>RISK进展队列GEO回末测序数据整理!E16</f>
        <v>13.42</v>
      </c>
      <c r="V17" s="22" t="str">
        <f>RISK进展队列GEO回末测序数据整理!F16</f>
        <v>A1b</v>
      </c>
      <c r="W17" s="22" t="str">
        <f>IF(RISK进展队列GEO回末测序数据整理!I16="Macroscopic inflammation","Macro",IF(RISK进展队列GEO回末测序数据整理!I16="Microscopic inflammation","Micro",TRIM(RISK进展队列GEO回末测序数据整理!I16)))</f>
        <v>Macro</v>
      </c>
      <c r="X17" s="22" t="str">
        <f>IF(RISK进展队列GEO回末测序数据整理!J16=1,"Yes",IF(RISK进展队列GEO回末测序数据整理!J16=0,"No","N/A"))</f>
        <v>No</v>
      </c>
      <c r="Y17" s="22">
        <f>IF(Q17="","",IF(COUNTIF($Q$3:Q17,Q17)=1,1,0))</f>
        <v>1</v>
      </c>
      <c r="Z17" s="22">
        <f>IF(Q17="","",IF(COUNTIFS($Q$3:Q17,Q17,$R$3:R17,R17)=1,1,0))</f>
        <v>1</v>
      </c>
    </row>
    <row r="18" spans="1:26" ht="30" customHeight="1" x14ac:dyDescent="0.4">
      <c r="A18" s="24" t="s">
        <v>32</v>
      </c>
      <c r="B18" s="24" t="s">
        <v>737</v>
      </c>
      <c r="C18" s="24" t="s">
        <v>738</v>
      </c>
      <c r="D18" s="24" t="s">
        <v>726</v>
      </c>
      <c r="P18" s="22" t="str">
        <f>RISK进展队列GEO回末测序数据整理!A17</f>
        <v>GSM1598423</v>
      </c>
      <c r="Q18" s="22" t="str">
        <f>RISK进展队列GEO回末测序数据整理!B17</f>
        <v>CCFA_Risk_016</v>
      </c>
      <c r="R18" s="22" t="str">
        <f>IF(LOWER(TRIM(RISK进展队列GEO回末测序数据整理!G17))="not ibd","Not IBD",TRIM(RISK进展队列GEO回末测序数据整理!G17))</f>
        <v>CD</v>
      </c>
      <c r="S18" s="22" t="str">
        <f>IF(LOWER(TRIM(RISK进展队列GEO回末测序数据整理!H17))="not ibd","Not IBD",TRIM(RISK进展队列GEO回末测序数据整理!H17))</f>
        <v>iCD</v>
      </c>
      <c r="T18" s="22" t="str">
        <f>IF(RISK进展队列GEO回末测序数据整理!D17="女","女性",IF(RISK进展队列GEO回末测序数据整理!D17="男","男性",TRIM(RISK进展队列GEO回末测序数据整理!D17)))</f>
        <v>男性</v>
      </c>
      <c r="U18" s="22">
        <f>RISK进展队列GEO回末测序数据整理!E17</f>
        <v>15.17</v>
      </c>
      <c r="V18" s="22" t="str">
        <f>RISK进展队列GEO回末测序数据整理!F17</f>
        <v>A1b</v>
      </c>
      <c r="W18" s="22" t="str">
        <f>IF(RISK进展队列GEO回末测序数据整理!I17="Macroscopic inflammation","Macro",IF(RISK进展队列GEO回末测序数据整理!I17="Microscopic inflammation","Micro",TRIM(RISK进展队列GEO回末测序数据整理!I17)))</f>
        <v>Macro</v>
      </c>
      <c r="X18" s="22" t="str">
        <f>IF(RISK进展队列GEO回末测序数据整理!J17=1,"Yes",IF(RISK进展队列GEO回末测序数据整理!J17=0,"No","N/A"))</f>
        <v>No</v>
      </c>
      <c r="Y18" s="22">
        <f>IF(Q18="","",IF(COUNTIF($Q$3:Q18,Q18)=1,1,0))</f>
        <v>1</v>
      </c>
      <c r="Z18" s="22">
        <f>IF(Q18="","",IF(COUNTIFS($Q$3:Q18,Q18,$R$3:R18,R18)=1,1,0))</f>
        <v>1</v>
      </c>
    </row>
    <row r="19" spans="1:26" x14ac:dyDescent="0.4">
      <c r="A19" s="25" t="s">
        <v>742</v>
      </c>
      <c r="B19" s="26">
        <f>SUMIFS($Y$3:$Y$324,$T$3:$T$324,A19)</f>
        <v>135</v>
      </c>
      <c r="C19" s="28">
        <f>IFERROR(B19/$B$21,"")</f>
        <v>0.41925465838509318</v>
      </c>
      <c r="D19" s="25" t="s">
        <v>743</v>
      </c>
      <c r="P19" s="22" t="str">
        <f>RISK进展队列GEO回末测序数据整理!A18</f>
        <v>GSM1598424</v>
      </c>
      <c r="Q19" s="22" t="str">
        <f>RISK进展队列GEO回末测序数据整理!B18</f>
        <v>CCFA_Risk_017</v>
      </c>
      <c r="R19" s="22" t="str">
        <f>IF(LOWER(TRIM(RISK进展队列GEO回末测序数据整理!G18))="not ibd","Not IBD",TRIM(RISK进展队列GEO回末测序数据整理!G18))</f>
        <v>CD</v>
      </c>
      <c r="S19" s="22" t="str">
        <f>IF(LOWER(TRIM(RISK进展队列GEO回末测序数据整理!H18))="not ibd","Not IBD",TRIM(RISK进展队列GEO回末测序数据整理!H18))</f>
        <v>iCD</v>
      </c>
      <c r="T19" s="22" t="str">
        <f>IF(RISK进展队列GEO回末测序数据整理!D18="女","女性",IF(RISK进展队列GEO回末测序数据整理!D18="男","男性",TRIM(RISK进展队列GEO回末测序数据整理!D18)))</f>
        <v>男性</v>
      </c>
      <c r="U19" s="22">
        <f>RISK进展队列GEO回末测序数据整理!E18</f>
        <v>13.25</v>
      </c>
      <c r="V19" s="22" t="str">
        <f>RISK进展队列GEO回末测序数据整理!F18</f>
        <v>A1b</v>
      </c>
      <c r="W19" s="22" t="str">
        <f>IF(RISK进展队列GEO回末测序数据整理!I18="Macroscopic inflammation","Macro",IF(RISK进展队列GEO回末测序数据整理!I18="Microscopic inflammation","Micro",TRIM(RISK进展队列GEO回末测序数据整理!I18)))</f>
        <v>Macro</v>
      </c>
      <c r="X19" s="22" t="str">
        <f>IF(RISK进展队列GEO回末测序数据整理!J18=1,"Yes",IF(RISK进展队列GEO回末测序数据整理!J18=0,"No","N/A"))</f>
        <v>Yes</v>
      </c>
      <c r="Y19" s="22">
        <f>IF(Q19="","",IF(COUNTIF($Q$3:Q19,Q19)=1,1,0))</f>
        <v>1</v>
      </c>
      <c r="Z19" s="22">
        <f>IF(Q19="","",IF(COUNTIFS($Q$3:Q19,Q19,$R$3:R19,R19)=1,1,0))</f>
        <v>1</v>
      </c>
    </row>
    <row r="20" spans="1:26" x14ac:dyDescent="0.4">
      <c r="A20" s="25" t="s">
        <v>744</v>
      </c>
      <c r="B20" s="26">
        <f>SUMIFS($Y$3:$Y$324,$T$3:$T$324,A20)</f>
        <v>187</v>
      </c>
      <c r="C20" s="28">
        <f>IFERROR(B20/$B$21,"")</f>
        <v>0.58074534161490687</v>
      </c>
      <c r="D20" s="25" t="s">
        <v>743</v>
      </c>
      <c r="P20" s="22" t="str">
        <f>RISK进展队列GEO回末测序数据整理!A19</f>
        <v>GSM1598425</v>
      </c>
      <c r="Q20" s="22" t="str">
        <f>RISK进展队列GEO回末测序数据整理!B19</f>
        <v>CCFA_Risk_018</v>
      </c>
      <c r="R20" s="22" t="str">
        <f>IF(LOWER(TRIM(RISK进展队列GEO回末测序数据整理!G19))="not ibd","Not IBD",TRIM(RISK进展队列GEO回末测序数据整理!G19))</f>
        <v>CD</v>
      </c>
      <c r="S20" s="22" t="str">
        <f>IF(LOWER(TRIM(RISK进展队列GEO回末测序数据整理!H19))="not ibd","Not IBD",TRIM(RISK进展队列GEO回末测序数据整理!H19))</f>
        <v>iCD</v>
      </c>
      <c r="T20" s="22" t="str">
        <f>IF(RISK进展队列GEO回末测序数据整理!D19="女","女性",IF(RISK进展队列GEO回末测序数据整理!D19="男","男性",TRIM(RISK进展队列GEO回末测序数据整理!D19)))</f>
        <v>女性</v>
      </c>
      <c r="U20" s="22">
        <f>RISK进展队列GEO回末测序数据整理!E19</f>
        <v>16.079999999999998</v>
      </c>
      <c r="V20" s="22" t="str">
        <f>RISK进展队列GEO回末测序数据整理!F19</f>
        <v>A1b</v>
      </c>
      <c r="W20" s="22" t="str">
        <f>IF(RISK进展队列GEO回末测序数据整理!I19="Macroscopic inflammation","Macro",IF(RISK进展队列GEO回末测序数据整理!I19="Microscopic inflammation","Micro",TRIM(RISK进展队列GEO回末测序数据整理!I19)))</f>
        <v>Macro</v>
      </c>
      <c r="X20" s="22" t="str">
        <f>IF(RISK进展队列GEO回末测序数据整理!J19=1,"Yes",IF(RISK进展队列GEO回末测序数据整理!J19=0,"No","N/A"))</f>
        <v>No</v>
      </c>
      <c r="Y20" s="22">
        <f>IF(Q20="","",IF(COUNTIF($Q$3:Q20,Q20)=1,1,0))</f>
        <v>1</v>
      </c>
      <c r="Z20" s="22">
        <f>IF(Q20="","",IF(COUNTIFS($Q$3:Q20,Q20,$R$3:R20,R20)=1,1,0))</f>
        <v>1</v>
      </c>
    </row>
    <row r="21" spans="1:26" x14ac:dyDescent="0.4">
      <c r="A21" s="29" t="s">
        <v>10</v>
      </c>
      <c r="B21" s="30">
        <f>SUM(B19:B20)</f>
        <v>322</v>
      </c>
      <c r="C21" s="31">
        <f>SUM(C19:C20)</f>
        <v>1</v>
      </c>
      <c r="D21" s="29"/>
      <c r="P21" s="22" t="str">
        <f>RISK进展队列GEO回末测序数据整理!A20</f>
        <v>GSM1598426</v>
      </c>
      <c r="Q21" s="22" t="str">
        <f>RISK进展队列GEO回末测序数据整理!B20</f>
        <v>CCFA_Risk_019</v>
      </c>
      <c r="R21" s="22" t="str">
        <f>IF(LOWER(TRIM(RISK进展队列GEO回末测序数据整理!G20))="not ibd","Not IBD",TRIM(RISK进展队列GEO回末测序数据整理!G20))</f>
        <v>Not IBD</v>
      </c>
      <c r="S21" s="22" t="str">
        <f>IF(LOWER(TRIM(RISK进展队列GEO回末测序数据整理!H20))="not ibd","Not IBD",TRIM(RISK进展队列GEO回末测序数据整理!H20))</f>
        <v>Not IBD</v>
      </c>
      <c r="T21" s="22" t="str">
        <f>IF(RISK进展队列GEO回末测序数据整理!D20="女","女性",IF(RISK进展队列GEO回末测序数据整理!D20="男","男性",TRIM(RISK进展队列GEO回末测序数据整理!D20)))</f>
        <v>女性</v>
      </c>
      <c r="U21" s="22">
        <f>RISK进展队列GEO回末测序数据整理!E20</f>
        <v>15</v>
      </c>
      <c r="V21" s="22" t="str">
        <f>RISK进展队列GEO回末测序数据整理!F20</f>
        <v>A1b</v>
      </c>
      <c r="W21" s="22" t="str">
        <f>IF(RISK进展队列GEO回末测序数据整理!I20="Macroscopic inflammation","Macro",IF(RISK进展队列GEO回末测序数据整理!I20="Microscopic inflammation","Micro",TRIM(RISK进展队列GEO回末测序数据整理!I20)))</f>
        <v>NA</v>
      </c>
      <c r="X21" s="22" t="str">
        <f>IF(RISK进展队列GEO回末测序数据整理!J20=1,"Yes",IF(RISK进展队列GEO回末测序数据整理!J20=0,"No","N/A"))</f>
        <v>N/A</v>
      </c>
      <c r="Y21" s="22">
        <f>IF(Q21="","",IF(COUNTIF($Q$3:Q21,Q21)=1,1,0))</f>
        <v>1</v>
      </c>
      <c r="Z21" s="22">
        <f>IF(Q21="","",IF(COUNTIFS($Q$3:Q21,Q21,$R$3:R21,R21)=1,1,0))</f>
        <v>1</v>
      </c>
    </row>
    <row r="22" spans="1:26" x14ac:dyDescent="0.4">
      <c r="P22" s="22" t="str">
        <f>RISK进展队列GEO回末测序数据整理!A21</f>
        <v>GSM1598427</v>
      </c>
      <c r="Q22" s="22" t="str">
        <f>RISK进展队列GEO回末测序数据整理!B21</f>
        <v>CCFA_Risk_020</v>
      </c>
      <c r="R22" s="22" t="str">
        <f>IF(LOWER(TRIM(RISK进展队列GEO回末测序数据整理!G21))="not ibd","Not IBD",TRIM(RISK进展队列GEO回末测序数据整理!G21))</f>
        <v>Not IBD</v>
      </c>
      <c r="S22" s="22" t="str">
        <f>IF(LOWER(TRIM(RISK进展队列GEO回末测序数据整理!H21))="not ibd","Not IBD",TRIM(RISK进展队列GEO回末测序数据整理!H21))</f>
        <v>Not IBD</v>
      </c>
      <c r="T22" s="22" t="str">
        <f>IF(RISK进展队列GEO回末测序数据整理!D21="女","女性",IF(RISK进展队列GEO回末测序数据整理!D21="男","男性",TRIM(RISK进展队列GEO回末测序数据整理!D21)))</f>
        <v>女性</v>
      </c>
      <c r="U22" s="22">
        <f>RISK进展队列GEO回末测序数据整理!E21</f>
        <v>10.75</v>
      </c>
      <c r="V22" s="22" t="str">
        <f>RISK进展队列GEO回末测序数据整理!F21</f>
        <v>A1b</v>
      </c>
      <c r="W22" s="22" t="str">
        <f>IF(RISK进展队列GEO回末测序数据整理!I21="Macroscopic inflammation","Macro",IF(RISK进展队列GEO回末测序数据整理!I21="Microscopic inflammation","Micro",TRIM(RISK进展队列GEO回末测序数据整理!I21)))</f>
        <v>NA</v>
      </c>
      <c r="X22" s="22" t="str">
        <f>IF(RISK进展队列GEO回末测序数据整理!J21=1,"Yes",IF(RISK进展队列GEO回末测序数据整理!J21=0,"No","N/A"))</f>
        <v>N/A</v>
      </c>
      <c r="Y22" s="22">
        <f>IF(Q22="","",IF(COUNTIF($Q$3:Q22,Q22)=1,1,0))</f>
        <v>1</v>
      </c>
      <c r="Z22" s="22">
        <f>IF(Q22="","",IF(COUNTIFS($Q$3:Q22,Q22,$R$3:R22,R22)=1,1,0))</f>
        <v>1</v>
      </c>
    </row>
    <row r="23" spans="1:26" ht="30" customHeight="1" x14ac:dyDescent="0.4">
      <c r="A23" s="24" t="s">
        <v>745</v>
      </c>
      <c r="B23" s="24" t="s">
        <v>724</v>
      </c>
      <c r="C23" s="24" t="s">
        <v>746</v>
      </c>
      <c r="D23" s="24" t="s">
        <v>726</v>
      </c>
      <c r="P23" s="22" t="str">
        <f>RISK进展队列GEO回末测序数据整理!A22</f>
        <v>GSM1598428</v>
      </c>
      <c r="Q23" s="22" t="str">
        <f>RISK进展队列GEO回末测序数据整理!B22</f>
        <v>CCFA_Risk_021</v>
      </c>
      <c r="R23" s="22" t="str">
        <f>IF(LOWER(TRIM(RISK进展队列GEO回末测序数据整理!G22))="not ibd","Not IBD",TRIM(RISK进展队列GEO回末测序数据整理!G22))</f>
        <v>CD</v>
      </c>
      <c r="S23" s="22" t="str">
        <f>IF(LOWER(TRIM(RISK进展队列GEO回末测序数据整理!H22))="not ibd","Not IBD",TRIM(RISK进展队列GEO回末测序数据整理!H22))</f>
        <v>iCD</v>
      </c>
      <c r="T23" s="22" t="str">
        <f>IF(RISK进展队列GEO回末测序数据整理!D22="女","女性",IF(RISK进展队列GEO回末测序数据整理!D22="男","男性",TRIM(RISK进展队列GEO回末测序数据整理!D22)))</f>
        <v>男性</v>
      </c>
      <c r="U23" s="22">
        <f>RISK进展队列GEO回末测序数据整理!E22</f>
        <v>10.33</v>
      </c>
      <c r="V23" s="22" t="str">
        <f>RISK进展队列GEO回末测序数据整理!F22</f>
        <v>A1b</v>
      </c>
      <c r="W23" s="22" t="str">
        <f>IF(RISK进展队列GEO回末测序数据整理!I22="Macroscopic inflammation","Macro",IF(RISK进展队列GEO回末测序数据整理!I22="Microscopic inflammation","Micro",TRIM(RISK进展队列GEO回末测序数据整理!I22)))</f>
        <v>Macro</v>
      </c>
      <c r="X23" s="22" t="str">
        <f>IF(RISK进展队列GEO回末测序数据整理!J22=1,"Yes",IF(RISK进展队列GEO回末测序数据整理!J22=0,"No","N/A"))</f>
        <v>Yes</v>
      </c>
      <c r="Y23" s="22">
        <f>IF(Q23="","",IF(COUNTIF($Q$3:Q23,Q23)=1,1,0))</f>
        <v>1</v>
      </c>
      <c r="Z23" s="22">
        <f>IF(Q23="","",IF(COUNTIFS($Q$3:Q23,Q23,$R$3:R23,R23)=1,1,0))</f>
        <v>1</v>
      </c>
    </row>
    <row r="24" spans="1:26" x14ac:dyDescent="0.4">
      <c r="A24" s="25" t="s">
        <v>747</v>
      </c>
      <c r="B24" s="27">
        <f>AVERAGE($U$3:$U$324)</f>
        <v>11.93832298136646</v>
      </c>
      <c r="C24" s="25" t="s">
        <v>748</v>
      </c>
      <c r="D24" s="25" t="s">
        <v>749</v>
      </c>
      <c r="P24" s="22" t="str">
        <f>RISK进展队列GEO回末测序数据整理!A23</f>
        <v>GSM1598429</v>
      </c>
      <c r="Q24" s="22" t="str">
        <f>RISK进展队列GEO回末测序数据整理!B23</f>
        <v>CCFA_Risk_022</v>
      </c>
      <c r="R24" s="22" t="str">
        <f>IF(LOWER(TRIM(RISK进展队列GEO回末测序数据整理!G23))="not ibd","Not IBD",TRIM(RISK进展队列GEO回末测序数据整理!G23))</f>
        <v>CD</v>
      </c>
      <c r="S24" s="22" t="str">
        <f>IF(LOWER(TRIM(RISK进展队列GEO回末测序数据整理!H23))="not ibd","Not IBD",TRIM(RISK进展队列GEO回末测序数据整理!H23))</f>
        <v>iCD</v>
      </c>
      <c r="T24" s="22" t="str">
        <f>IF(RISK进展队列GEO回末测序数据整理!D23="女","女性",IF(RISK进展队列GEO回末测序数据整理!D23="男","男性",TRIM(RISK进展队列GEO回末测序数据整理!D23)))</f>
        <v>女性</v>
      </c>
      <c r="U24" s="22">
        <f>RISK进展队列GEO回末测序数据整理!E23</f>
        <v>10.83</v>
      </c>
      <c r="V24" s="22" t="str">
        <f>RISK进展队列GEO回末测序数据整理!F23</f>
        <v>A1b</v>
      </c>
      <c r="W24" s="22" t="str">
        <f>IF(RISK进展队列GEO回末测序数据整理!I23="Macroscopic inflammation","Macro",IF(RISK进展队列GEO回末测序数据整理!I23="Microscopic inflammation","Micro",TRIM(RISK进展队列GEO回末测序数据整理!I23)))</f>
        <v>Macro</v>
      </c>
      <c r="X24" s="22" t="str">
        <f>IF(RISK进展队列GEO回末测序数据整理!J23=1,"Yes",IF(RISK进展队列GEO回末测序数据整理!J23=0,"No","N/A"))</f>
        <v>Yes</v>
      </c>
      <c r="Y24" s="22">
        <f>IF(Q24="","",IF(COUNTIF($Q$3:Q24,Q24)=1,1,0))</f>
        <v>1</v>
      </c>
      <c r="Z24" s="22">
        <f>IF(Q24="","",IF(COUNTIFS($Q$3:Q24,Q24,$R$3:R24,R24)=1,1,0))</f>
        <v>1</v>
      </c>
    </row>
    <row r="25" spans="1:26" x14ac:dyDescent="0.4">
      <c r="A25" s="25" t="s">
        <v>750</v>
      </c>
      <c r="B25" s="27">
        <f>STDEV($U$3:$U$324)</f>
        <v>3.1710106756879406</v>
      </c>
      <c r="C25" s="25" t="s">
        <v>748</v>
      </c>
      <c r="D25" s="25" t="s">
        <v>749</v>
      </c>
      <c r="P25" s="22" t="str">
        <f>RISK进展队列GEO回末测序数据整理!A24</f>
        <v>GSM1598430</v>
      </c>
      <c r="Q25" s="22" t="str">
        <f>RISK进展队列GEO回末测序数据整理!B24</f>
        <v>CCFA_Risk_023</v>
      </c>
      <c r="R25" s="22" t="str">
        <f>IF(LOWER(TRIM(RISK进展队列GEO回末测序数据整理!G24))="not ibd","Not IBD",TRIM(RISK进展队列GEO回末测序数据整理!G24))</f>
        <v>CD</v>
      </c>
      <c r="S25" s="22" t="str">
        <f>IF(LOWER(TRIM(RISK进展队列GEO回末测序数据整理!H24))="not ibd","Not IBD",TRIM(RISK进展队列GEO回末测序数据整理!H24))</f>
        <v>iCD</v>
      </c>
      <c r="T25" s="22" t="str">
        <f>IF(RISK进展队列GEO回末测序数据整理!D24="女","女性",IF(RISK进展队列GEO回末测序数据整理!D24="男","男性",TRIM(RISK进展队列GEO回末测序数据整理!D24)))</f>
        <v>女性</v>
      </c>
      <c r="U25" s="22">
        <f>RISK进展队列GEO回末测序数据整理!E24</f>
        <v>10.17</v>
      </c>
      <c r="V25" s="22" t="str">
        <f>RISK进展队列GEO回末测序数据整理!F24</f>
        <v>A1b</v>
      </c>
      <c r="W25" s="22" t="str">
        <f>IF(RISK进展队列GEO回末测序数据整理!I24="Macroscopic inflammation","Macro",IF(RISK进展队列GEO回末测序数据整理!I24="Microscopic inflammation","Micro",TRIM(RISK进展队列GEO回末测序数据整理!I24)))</f>
        <v>Macro</v>
      </c>
      <c r="X25" s="22" t="str">
        <f>IF(RISK进展队列GEO回末测序数据整理!J24=1,"Yes",IF(RISK进展队列GEO回末测序数据整理!J24=0,"No","N/A"))</f>
        <v>Yes</v>
      </c>
      <c r="Y25" s="22">
        <f>IF(Q25="","",IF(COUNTIF($Q$3:Q25,Q25)=1,1,0))</f>
        <v>1</v>
      </c>
      <c r="Z25" s="22">
        <f>IF(Q25="","",IF(COUNTIFS($Q$3:Q25,Q25,$R$3:R25,R25)=1,1,0))</f>
        <v>1</v>
      </c>
    </row>
    <row r="26" spans="1:26" x14ac:dyDescent="0.4">
      <c r="A26" s="25" t="s">
        <v>751</v>
      </c>
      <c r="B26" s="27">
        <f>MEDIAN($U$3:$U$324)</f>
        <v>12</v>
      </c>
      <c r="C26" s="25" t="s">
        <v>748</v>
      </c>
      <c r="D26" s="25" t="s">
        <v>749</v>
      </c>
      <c r="P26" s="22" t="str">
        <f>RISK进展队列GEO回末测序数据整理!A25</f>
        <v>GSM1598431</v>
      </c>
      <c r="Q26" s="22" t="str">
        <f>RISK进展队列GEO回末测序数据整理!B25</f>
        <v>CCFA_Risk_024</v>
      </c>
      <c r="R26" s="22" t="str">
        <f>IF(LOWER(TRIM(RISK进展队列GEO回末测序数据整理!G25))="not ibd","Not IBD",TRIM(RISK进展队列GEO回末测序数据整理!G25))</f>
        <v>CD</v>
      </c>
      <c r="S26" s="22" t="str">
        <f>IF(LOWER(TRIM(RISK进展队列GEO回末测序数据整理!H25))="not ibd","Not IBD",TRIM(RISK进展队列GEO回末测序数据整理!H25))</f>
        <v>iCD</v>
      </c>
      <c r="T26" s="22" t="str">
        <f>IF(RISK进展队列GEO回末测序数据整理!D25="女","女性",IF(RISK进展队列GEO回末测序数据整理!D25="男","男性",TRIM(RISK进展队列GEO回末测序数据整理!D25)))</f>
        <v>男性</v>
      </c>
      <c r="U26" s="22">
        <f>RISK进展队列GEO回末测序数据整理!E25</f>
        <v>4.5</v>
      </c>
      <c r="V26" s="22" t="str">
        <f>RISK进展队列GEO回末测序数据整理!F25</f>
        <v>A1a</v>
      </c>
      <c r="W26" s="22" t="str">
        <f>IF(RISK进展队列GEO回末测序数据整理!I25="Macroscopic inflammation","Macro",IF(RISK进展队列GEO回末测序数据整理!I25="Microscopic inflammation","Micro",TRIM(RISK进展队列GEO回末测序数据整理!I25)))</f>
        <v>Macro</v>
      </c>
      <c r="X26" s="22" t="str">
        <f>IF(RISK进展队列GEO回末测序数据整理!J25=1,"Yes",IF(RISK进展队列GEO回末测序数据整理!J25=0,"No","N/A"))</f>
        <v>No</v>
      </c>
      <c r="Y26" s="22">
        <f>IF(Q26="","",IF(COUNTIF($Q$3:Q26,Q26)=1,1,0))</f>
        <v>1</v>
      </c>
      <c r="Z26" s="22">
        <f>IF(Q26="","",IF(COUNTIFS($Q$3:Q26,Q26,$R$3:R26,R26)=1,1,0))</f>
        <v>1</v>
      </c>
    </row>
    <row r="27" spans="1:26" x14ac:dyDescent="0.4">
      <c r="A27" s="25" t="s">
        <v>752</v>
      </c>
      <c r="B27" s="27">
        <f>MIN($U$3:$U$324)</f>
        <v>2.25</v>
      </c>
      <c r="C27" s="25" t="s">
        <v>748</v>
      </c>
      <c r="D27" s="25" t="s">
        <v>749</v>
      </c>
      <c r="P27" s="22" t="str">
        <f>RISK进展队列GEO回末测序数据整理!A26</f>
        <v>GSM1598432</v>
      </c>
      <c r="Q27" s="22" t="str">
        <f>RISK进展队列GEO回末测序数据整理!B26</f>
        <v>CCFA_Risk_025</v>
      </c>
      <c r="R27" s="22" t="str">
        <f>IF(LOWER(TRIM(RISK进展队列GEO回末测序数据整理!G26))="not ibd","Not IBD",TRIM(RISK进展队列GEO回末测序数据整理!G26))</f>
        <v>CD</v>
      </c>
      <c r="S27" s="22" t="str">
        <f>IF(LOWER(TRIM(RISK进展队列GEO回末测序数据整理!H26))="not ibd","Not IBD",TRIM(RISK进展队列GEO回末测序数据整理!H26))</f>
        <v>iCD</v>
      </c>
      <c r="T27" s="22" t="str">
        <f>IF(RISK进展队列GEO回末测序数据整理!D26="女","女性",IF(RISK进展队列GEO回末测序数据整理!D26="男","男性",TRIM(RISK进展队列GEO回末测序数据整理!D26)))</f>
        <v>女性</v>
      </c>
      <c r="U27" s="22">
        <f>RISK进展队列GEO回末测序数据整理!E26</f>
        <v>6.33</v>
      </c>
      <c r="V27" s="22" t="str">
        <f>RISK进展队列GEO回末测序数据整理!F26</f>
        <v>A1a</v>
      </c>
      <c r="W27" s="22" t="str">
        <f>IF(RISK进展队列GEO回末测序数据整理!I26="Macroscopic inflammation","Macro",IF(RISK进展队列GEO回末测序数据整理!I26="Microscopic inflammation","Micro",TRIM(RISK进展队列GEO回末测序数据整理!I26)))</f>
        <v>Macro</v>
      </c>
      <c r="X27" s="22" t="str">
        <f>IF(RISK进展队列GEO回末测序数据整理!J26=1,"Yes",IF(RISK进展队列GEO回末测序数据整理!J26=0,"No","N/A"))</f>
        <v>No</v>
      </c>
      <c r="Y27" s="22">
        <f>IF(Q27="","",IF(COUNTIF($Q$3:Q27,Q27)=1,1,0))</f>
        <v>1</v>
      </c>
      <c r="Z27" s="22">
        <f>IF(Q27="","",IF(COUNTIFS($Q$3:Q27,Q27,$R$3:R27,R27)=1,1,0))</f>
        <v>1</v>
      </c>
    </row>
    <row r="28" spans="1:26" x14ac:dyDescent="0.4">
      <c r="A28" s="25" t="s">
        <v>753</v>
      </c>
      <c r="B28" s="27">
        <f>MAX($U$3:$U$324)</f>
        <v>17.079999999999998</v>
      </c>
      <c r="C28" s="25" t="s">
        <v>748</v>
      </c>
      <c r="D28" s="25" t="s">
        <v>749</v>
      </c>
      <c r="P28" s="22" t="str">
        <f>RISK进展队列GEO回末测序数据整理!A27</f>
        <v>GSM1598433</v>
      </c>
      <c r="Q28" s="22" t="str">
        <f>RISK进展队列GEO回末测序数据整理!B27</f>
        <v>CCFA_Risk_026</v>
      </c>
      <c r="R28" s="22" t="str">
        <f>IF(LOWER(TRIM(RISK进展队列GEO回末测序数据整理!G27))="not ibd","Not IBD",TRIM(RISK进展队列GEO回末测序数据整理!G27))</f>
        <v>CD</v>
      </c>
      <c r="S28" s="22" t="str">
        <f>IF(LOWER(TRIM(RISK进展队列GEO回末测序数据整理!H27))="not ibd","Not IBD",TRIM(RISK进展队列GEO回末测序数据整理!H27))</f>
        <v>iCD</v>
      </c>
      <c r="T28" s="22" t="str">
        <f>IF(RISK进展队列GEO回末测序数据整理!D27="女","女性",IF(RISK进展队列GEO回末测序数据整理!D27="男","男性",TRIM(RISK进展队列GEO回末测序数据整理!D27)))</f>
        <v>男性</v>
      </c>
      <c r="U28" s="22">
        <f>RISK进展队列GEO回末测序数据整理!E27</f>
        <v>5.08</v>
      </c>
      <c r="V28" s="22" t="str">
        <f>RISK进展队列GEO回末测序数据整理!F27</f>
        <v>A1a</v>
      </c>
      <c r="W28" s="22" t="str">
        <f>IF(RISK进展队列GEO回末测序数据整理!I27="Macroscopic inflammation","Macro",IF(RISK进展队列GEO回末测序数据整理!I27="Microscopic inflammation","Micro",TRIM(RISK进展队列GEO回末测序数据整理!I27)))</f>
        <v>Macro</v>
      </c>
      <c r="X28" s="22" t="str">
        <f>IF(RISK进展队列GEO回末测序数据整理!J27=1,"Yes",IF(RISK进展队列GEO回末测序数据整理!J27=0,"No","N/A"))</f>
        <v>No</v>
      </c>
      <c r="Y28" s="22">
        <f>IF(Q28="","",IF(COUNTIF($Q$3:Q28,Q28)=1,1,0))</f>
        <v>1</v>
      </c>
      <c r="Z28" s="22">
        <f>IF(Q28="","",IF(COUNTIFS($Q$3:Q28,Q28,$R$3:R28,R28)=1,1,0))</f>
        <v>1</v>
      </c>
    </row>
    <row r="29" spans="1:26" x14ac:dyDescent="0.4">
      <c r="P29" s="22" t="str">
        <f>RISK进展队列GEO回末测序数据整理!A28</f>
        <v>GSM1598434</v>
      </c>
      <c r="Q29" s="22" t="str">
        <f>RISK进展队列GEO回末测序数据整理!B28</f>
        <v>CCFA_Risk_027</v>
      </c>
      <c r="R29" s="22" t="str">
        <f>IF(LOWER(TRIM(RISK进展队列GEO回末测序数据整理!G28))="not ibd","Not IBD",TRIM(RISK进展队列GEO回末测序数据整理!G28))</f>
        <v>CD</v>
      </c>
      <c r="S29" s="22" t="str">
        <f>IF(LOWER(TRIM(RISK进展队列GEO回末测序数据整理!H28))="not ibd","Not IBD",TRIM(RISK进展队列GEO回末测序数据整理!H28))</f>
        <v>iCD</v>
      </c>
      <c r="T29" s="22" t="str">
        <f>IF(RISK进展队列GEO回末测序数据整理!D28="女","女性",IF(RISK进展队列GEO回末测序数据整理!D28="男","男性",TRIM(RISK进展队列GEO回末测序数据整理!D28)))</f>
        <v>女性</v>
      </c>
      <c r="U29" s="22">
        <f>RISK进展队列GEO回末测序数据整理!E28</f>
        <v>10.33</v>
      </c>
      <c r="V29" s="22" t="str">
        <f>RISK进展队列GEO回末测序数据整理!F28</f>
        <v>A1b</v>
      </c>
      <c r="W29" s="22" t="str">
        <f>IF(RISK进展队列GEO回末测序数据整理!I28="Macroscopic inflammation","Macro",IF(RISK进展队列GEO回末测序数据整理!I28="Microscopic inflammation","Micro",TRIM(RISK进展队列GEO回末测序数据整理!I28)))</f>
        <v>Macro</v>
      </c>
      <c r="X29" s="22" t="str">
        <f>IF(RISK进展队列GEO回末测序数据整理!J28=1,"Yes",IF(RISK进展队列GEO回末测序数据整理!J28=0,"No","N/A"))</f>
        <v>Yes</v>
      </c>
      <c r="Y29" s="22">
        <f>IF(Q29="","",IF(COUNTIF($Q$3:Q29,Q29)=1,1,0))</f>
        <v>1</v>
      </c>
      <c r="Z29" s="22">
        <f>IF(Q29="","",IF(COUNTIFS($Q$3:Q29,Q29,$R$3:R29,R29)=1,1,0))</f>
        <v>1</v>
      </c>
    </row>
    <row r="30" spans="1:26" ht="21" customHeight="1" x14ac:dyDescent="0.4">
      <c r="A30" s="23" t="s">
        <v>754</v>
      </c>
      <c r="B30" s="23"/>
      <c r="C30" s="23"/>
      <c r="D30" s="23"/>
      <c r="E30" s="23"/>
      <c r="F30" s="23"/>
      <c r="G30" s="23"/>
      <c r="H30" s="23"/>
      <c r="I30" s="23"/>
      <c r="P30" s="22" t="str">
        <f>RISK进展队列GEO回末测序数据整理!A29</f>
        <v>GSM1598435</v>
      </c>
      <c r="Q30" s="22" t="str">
        <f>RISK进展队列GEO回末测序数据整理!B29</f>
        <v>CCFA_Risk_028</v>
      </c>
      <c r="R30" s="22" t="str">
        <f>IF(LOWER(TRIM(RISK进展队列GEO回末测序数据整理!G29))="not ibd","Not IBD",TRIM(RISK进展队列GEO回末测序数据整理!G29))</f>
        <v>Not IBD</v>
      </c>
      <c r="S30" s="22" t="str">
        <f>IF(LOWER(TRIM(RISK进展队列GEO回末测序数据整理!H29))="not ibd","Not IBD",TRIM(RISK进展队列GEO回末测序数据整理!H29))</f>
        <v>Not IBD</v>
      </c>
      <c r="T30" s="22" t="str">
        <f>IF(RISK进展队列GEO回末测序数据整理!D29="女","女性",IF(RISK进展队列GEO回末测序数据整理!D29="男","男性",TRIM(RISK进展队列GEO回末测序数据整理!D29)))</f>
        <v>女性</v>
      </c>
      <c r="U30" s="22">
        <f>RISK进展队列GEO回末测序数据整理!E29</f>
        <v>16.920000000000002</v>
      </c>
      <c r="V30" s="22" t="str">
        <f>RISK进展队列GEO回末测序数据整理!F29</f>
        <v>A1b</v>
      </c>
      <c r="W30" s="22" t="str">
        <f>IF(RISK进展队列GEO回末测序数据整理!I29="Macroscopic inflammation","Macro",IF(RISK进展队列GEO回末测序数据整理!I29="Microscopic inflammation","Micro",TRIM(RISK进展队列GEO回末测序数据整理!I29)))</f>
        <v>NA</v>
      </c>
      <c r="X30" s="22" t="str">
        <f>IF(RISK进展队列GEO回末测序数据整理!J29=1,"Yes",IF(RISK进展队列GEO回末测序数据整理!J29=0,"No","N/A"))</f>
        <v>N/A</v>
      </c>
      <c r="Y30" s="22">
        <f>IF(Q30="","",IF(COUNTIF($Q$3:Q30,Q30)=1,1,0))</f>
        <v>1</v>
      </c>
      <c r="Z30" s="22">
        <f>IF(Q30="","",IF(COUNTIFS($Q$3:Q30,Q30,$R$3:R30,R30)=1,1,0))</f>
        <v>1</v>
      </c>
    </row>
    <row r="31" spans="1:26" ht="30" customHeight="1" x14ac:dyDescent="0.4">
      <c r="A31" s="24" t="s">
        <v>715</v>
      </c>
      <c r="B31" s="24" t="s">
        <v>737</v>
      </c>
      <c r="C31" s="24" t="s">
        <v>755</v>
      </c>
      <c r="D31" s="24" t="s">
        <v>726</v>
      </c>
      <c r="P31" s="22" t="str">
        <f>RISK进展队列GEO回末测序数据整理!A30</f>
        <v>GSM1598436</v>
      </c>
      <c r="Q31" s="22" t="str">
        <f>RISK进展队列GEO回末测序数据整理!B30</f>
        <v>CCFA_Risk_029</v>
      </c>
      <c r="R31" s="22" t="str">
        <f>IF(LOWER(TRIM(RISK进展队列GEO回末测序数据整理!G30))="not ibd","Not IBD",TRIM(RISK进展队列GEO回末测序数据整理!G30))</f>
        <v>CD</v>
      </c>
      <c r="S31" s="22" t="str">
        <f>IF(LOWER(TRIM(RISK进展队列GEO回末测序数据整理!H30))="not ibd","Not IBD",TRIM(RISK进展队列GEO回末测序数据整理!H30))</f>
        <v>iCD</v>
      </c>
      <c r="T31" s="22" t="str">
        <f>IF(RISK进展队列GEO回末测序数据整理!D30="女","女性",IF(RISK进展队列GEO回末测序数据整理!D30="男","男性",TRIM(RISK进展队列GEO回末测序数据整理!D30)))</f>
        <v>女性</v>
      </c>
      <c r="U31" s="22">
        <f>RISK进展队列GEO回末测序数据整理!E30</f>
        <v>10.83</v>
      </c>
      <c r="V31" s="22" t="str">
        <f>RISK进展队列GEO回末测序数据整理!F30</f>
        <v>A1b</v>
      </c>
      <c r="W31" s="22" t="str">
        <f>IF(RISK进展队列GEO回末测序数据整理!I30="Macroscopic inflammation","Macro",IF(RISK进展队列GEO回末测序数据整理!I30="Microscopic inflammation","Micro",TRIM(RISK进展队列GEO回末测序数据整理!I30)))</f>
        <v>Macro</v>
      </c>
      <c r="X31" s="22" t="str">
        <f>IF(RISK进展队列GEO回末测序数据整理!J30=1,"Yes",IF(RISK进展队列GEO回末测序数据整理!J30=0,"No","N/A"))</f>
        <v>No</v>
      </c>
      <c r="Y31" s="22">
        <f>IF(Q31="","",IF(COUNTIF($Q$3:Q31,Q31)=1,1,0))</f>
        <v>1</v>
      </c>
      <c r="Z31" s="22">
        <f>IF(Q31="","",IF(COUNTIFS($Q$3:Q31,Q31,$R$3:R31,R31)=1,1,0))</f>
        <v>1</v>
      </c>
    </row>
    <row r="32" spans="1:26" ht="25.5" x14ac:dyDescent="0.4">
      <c r="A32" s="25" t="s">
        <v>6</v>
      </c>
      <c r="B32" s="26">
        <f>COUNTIF($S$3:$S$324,A32)</f>
        <v>163</v>
      </c>
      <c r="C32" s="28">
        <f>IFERROR(B32/$B$34,"")</f>
        <v>0.74770642201834858</v>
      </c>
      <c r="D32" s="25" t="s">
        <v>756</v>
      </c>
      <c r="P32" s="22" t="str">
        <f>RISK进展队列GEO回末测序数据整理!A31</f>
        <v>GSM1598437</v>
      </c>
      <c r="Q32" s="22" t="str">
        <f>RISK进展队列GEO回末测序数据整理!B31</f>
        <v>CCFA_Risk_030</v>
      </c>
      <c r="R32" s="22" t="str">
        <f>IF(LOWER(TRIM(RISK进展队列GEO回末测序数据整理!G31))="not ibd","Not IBD",TRIM(RISK进展队列GEO回末测序数据整理!G31))</f>
        <v>CD</v>
      </c>
      <c r="S32" s="22" t="str">
        <f>IF(LOWER(TRIM(RISK进展队列GEO回末测序数据整理!H31))="not ibd","Not IBD",TRIM(RISK进展队列GEO回末测序数据整理!H31))</f>
        <v>iCD</v>
      </c>
      <c r="T32" s="22" t="str">
        <f>IF(RISK进展队列GEO回末测序数据整理!D31="女","女性",IF(RISK进展队列GEO回末测序数据整理!D31="男","男性",TRIM(RISK进展队列GEO回末测序数据整理!D31)))</f>
        <v>男性</v>
      </c>
      <c r="U32" s="22">
        <f>RISK进展队列GEO回末测序数据整理!E31</f>
        <v>10.75</v>
      </c>
      <c r="V32" s="22" t="str">
        <f>RISK进展队列GEO回末测序数据整理!F31</f>
        <v>A1b</v>
      </c>
      <c r="W32" s="22" t="str">
        <f>IF(RISK进展队列GEO回末测序数据整理!I31="Macroscopic inflammation","Macro",IF(RISK进展队列GEO回末测序数据整理!I31="Microscopic inflammation","Micro",TRIM(RISK进展队列GEO回末测序数据整理!I31)))</f>
        <v>Macro</v>
      </c>
      <c r="X32" s="22" t="str">
        <f>IF(RISK进展队列GEO回末测序数据整理!J31=1,"Yes",IF(RISK进展队列GEO回末测序数据整理!J31=0,"No","N/A"))</f>
        <v>No</v>
      </c>
      <c r="Y32" s="22">
        <f>IF(Q32="","",IF(COUNTIF($Q$3:Q32,Q32)=1,1,0))</f>
        <v>1</v>
      </c>
      <c r="Z32" s="22">
        <f>IF(Q32="","",IF(COUNTIFS($Q$3:Q32,Q32,$R$3:R32,R32)=1,1,0))</f>
        <v>1</v>
      </c>
    </row>
    <row r="33" spans="1:26" ht="25.5" x14ac:dyDescent="0.4">
      <c r="A33" s="25" t="s">
        <v>8</v>
      </c>
      <c r="B33" s="26">
        <f>COUNTIF($S$3:$S$324,A33)</f>
        <v>55</v>
      </c>
      <c r="C33" s="28">
        <f>IFERROR(B33/$B$34,"")</f>
        <v>0.25229357798165136</v>
      </c>
      <c r="D33" s="25" t="s">
        <v>756</v>
      </c>
      <c r="P33" s="22" t="str">
        <f>RISK进展队列GEO回末测序数据整理!A32</f>
        <v>GSM1598438</v>
      </c>
      <c r="Q33" s="22" t="str">
        <f>RISK进展队列GEO回末测序数据整理!B32</f>
        <v>CCFA_Risk_031</v>
      </c>
      <c r="R33" s="22" t="str">
        <f>IF(LOWER(TRIM(RISK进展队列GEO回末测序数据整理!G32))="not ibd","Not IBD",TRIM(RISK进展队列GEO回末测序数据整理!G32))</f>
        <v>Not IBD</v>
      </c>
      <c r="S33" s="22" t="str">
        <f>IF(LOWER(TRIM(RISK进展队列GEO回末测序数据整理!H32))="not ibd","Not IBD",TRIM(RISK进展队列GEO回末测序数据整理!H32))</f>
        <v>Not IBD</v>
      </c>
      <c r="T33" s="22" t="str">
        <f>IF(RISK进展队列GEO回末测序数据整理!D32="女","女性",IF(RISK进展队列GEO回末测序数据整理!D32="男","男性",TRIM(RISK进展队列GEO回末测序数据整理!D32)))</f>
        <v>女性</v>
      </c>
      <c r="U33" s="22">
        <f>RISK进展队列GEO回末测序数据整理!E32</f>
        <v>12.5</v>
      </c>
      <c r="V33" s="22" t="str">
        <f>RISK进展队列GEO回末测序数据整理!F32</f>
        <v>A1b</v>
      </c>
      <c r="W33" s="22" t="str">
        <f>IF(RISK进展队列GEO回末测序数据整理!I32="Macroscopic inflammation","Macro",IF(RISK进展队列GEO回末测序数据整理!I32="Microscopic inflammation","Micro",TRIM(RISK进展队列GEO回末测序数据整理!I32)))</f>
        <v>NA</v>
      </c>
      <c r="X33" s="22" t="str">
        <f>IF(RISK进展队列GEO回末测序数据整理!J32=1,"Yes",IF(RISK进展队列GEO回末测序数据整理!J32=0,"No","N/A"))</f>
        <v>N/A</v>
      </c>
      <c r="Y33" s="22">
        <f>IF(Q33="","",IF(COUNTIF($Q$3:Q33,Q33)=1,1,0))</f>
        <v>1</v>
      </c>
      <c r="Z33" s="22">
        <f>IF(Q33="","",IF(COUNTIFS($Q$3:Q33,Q33,$R$3:R33,R33)=1,1,0))</f>
        <v>1</v>
      </c>
    </row>
    <row r="34" spans="1:26" x14ac:dyDescent="0.4">
      <c r="A34" s="29" t="s">
        <v>757</v>
      </c>
      <c r="B34" s="30">
        <f>SUM(B32:B33)</f>
        <v>218</v>
      </c>
      <c r="C34" s="31">
        <f>SUM(C32:C33)</f>
        <v>1</v>
      </c>
      <c r="D34" s="29"/>
      <c r="P34" s="22" t="str">
        <f>RISK进展队列GEO回末测序数据整理!A33</f>
        <v>GSM1598439</v>
      </c>
      <c r="Q34" s="22" t="str">
        <f>RISK进展队列GEO回末测序数据整理!B33</f>
        <v>CCFA_Risk_032</v>
      </c>
      <c r="R34" s="22" t="str">
        <f>IF(LOWER(TRIM(RISK进展队列GEO回末测序数据整理!G33))="not ibd","Not IBD",TRIM(RISK进展队列GEO回末测序数据整理!G33))</f>
        <v>CD</v>
      </c>
      <c r="S34" s="22" t="str">
        <f>IF(LOWER(TRIM(RISK进展队列GEO回末测序数据整理!H33))="not ibd","Not IBD",TRIM(RISK进展队列GEO回末测序数据整理!H33))</f>
        <v>iCD</v>
      </c>
      <c r="T34" s="22" t="str">
        <f>IF(RISK进展队列GEO回末测序数据整理!D33="女","女性",IF(RISK进展队列GEO回末测序数据整理!D33="男","男性",TRIM(RISK进展队列GEO回末测序数据整理!D33)))</f>
        <v>女性</v>
      </c>
      <c r="U34" s="22">
        <f>RISK进展队列GEO回末测序数据整理!E33</f>
        <v>8.67</v>
      </c>
      <c r="V34" s="22" t="str">
        <f>RISK进展队列GEO回末测序数据整理!F33</f>
        <v>A1a</v>
      </c>
      <c r="W34" s="22" t="str">
        <f>IF(RISK进展队列GEO回末测序数据整理!I33="Macroscopic inflammation","Macro",IF(RISK进展队列GEO回末测序数据整理!I33="Microscopic inflammation","Micro",TRIM(RISK进展队列GEO回末测序数据整理!I33)))</f>
        <v>Macro</v>
      </c>
      <c r="X34" s="22" t="str">
        <f>IF(RISK进展队列GEO回末测序数据整理!J33=1,"Yes",IF(RISK进展队列GEO回末测序数据整理!J33=0,"No","N/A"))</f>
        <v>No</v>
      </c>
      <c r="Y34" s="22">
        <f>IF(Q34="","",IF(COUNTIF($Q$3:Q34,Q34)=1,1,0))</f>
        <v>1</v>
      </c>
      <c r="Z34" s="22">
        <f>IF(Q34="","",IF(COUNTIFS($Q$3:Q34,Q34,$R$3:R34,R34)=1,1,0))</f>
        <v>1</v>
      </c>
    </row>
    <row r="35" spans="1:26" x14ac:dyDescent="0.4">
      <c r="P35" s="22" t="str">
        <f>RISK进展队列GEO回末测序数据整理!A34</f>
        <v>GSM1598440</v>
      </c>
      <c r="Q35" s="22" t="str">
        <f>RISK进展队列GEO回末测序数据整理!B34</f>
        <v>CCFA_Risk_033</v>
      </c>
      <c r="R35" s="22" t="str">
        <f>IF(LOWER(TRIM(RISK进展队列GEO回末测序数据整理!G34))="not ibd","Not IBD",TRIM(RISK进展队列GEO回末测序数据整理!G34))</f>
        <v>Not IBD</v>
      </c>
      <c r="S35" s="22" t="str">
        <f>IF(LOWER(TRIM(RISK进展队列GEO回末测序数据整理!H34))="not ibd","Not IBD",TRIM(RISK进展队列GEO回末测序数据整理!H34))</f>
        <v>Not IBD</v>
      </c>
      <c r="T35" s="22" t="str">
        <f>IF(RISK进展队列GEO回末测序数据整理!D34="女","女性",IF(RISK进展队列GEO回末测序数据整理!D34="男","男性",TRIM(RISK进展队列GEO回末测序数据整理!D34)))</f>
        <v>男性</v>
      </c>
      <c r="U35" s="22">
        <f>RISK进展队列GEO回末测序数据整理!E34</f>
        <v>9.33</v>
      </c>
      <c r="V35" s="22" t="str">
        <f>RISK进展队列GEO回末测序数据整理!F34</f>
        <v>A1a</v>
      </c>
      <c r="W35" s="22" t="str">
        <f>IF(RISK进展队列GEO回末测序数据整理!I34="Macroscopic inflammation","Macro",IF(RISK进展队列GEO回末测序数据整理!I34="Microscopic inflammation","Micro",TRIM(RISK进展队列GEO回末测序数据整理!I34)))</f>
        <v>NA</v>
      </c>
      <c r="X35" s="22" t="str">
        <f>IF(RISK进展队列GEO回末测序数据整理!J34=1,"Yes",IF(RISK进展队列GEO回末测序数据整理!J34=0,"No","N/A"))</f>
        <v>N/A</v>
      </c>
      <c r="Y35" s="22">
        <f>IF(Q35="","",IF(COUNTIF($Q$3:Q35,Q35)=1,1,0))</f>
        <v>1</v>
      </c>
      <c r="Z35" s="22">
        <f>IF(Q35="","",IF(COUNTIFS($Q$3:Q35,Q35,$R$3:R35,R35)=1,1,0))</f>
        <v>1</v>
      </c>
    </row>
    <row r="36" spans="1:26" ht="21" customHeight="1" x14ac:dyDescent="0.4">
      <c r="A36" s="23" t="s">
        <v>758</v>
      </c>
      <c r="B36" s="23"/>
      <c r="C36" s="23"/>
      <c r="D36" s="23"/>
      <c r="E36" s="23"/>
      <c r="F36" s="23"/>
      <c r="G36" s="23"/>
      <c r="H36" s="23"/>
      <c r="I36" s="23"/>
      <c r="P36" s="22" t="str">
        <f>RISK进展队列GEO回末测序数据整理!A35</f>
        <v>GSM1598441</v>
      </c>
      <c r="Q36" s="22" t="str">
        <f>RISK进展队列GEO回末测序数据整理!B35</f>
        <v>CCFA_Risk_034</v>
      </c>
      <c r="R36" s="22" t="str">
        <f>IF(LOWER(TRIM(RISK进展队列GEO回末测序数据整理!G35))="not ibd","Not IBD",TRIM(RISK进展队列GEO回末测序数据整理!G35))</f>
        <v>Not IBD</v>
      </c>
      <c r="S36" s="22" t="str">
        <f>IF(LOWER(TRIM(RISK进展队列GEO回末测序数据整理!H35))="not ibd","Not IBD",TRIM(RISK进展队列GEO回末测序数据整理!H35))</f>
        <v>Not IBD</v>
      </c>
      <c r="T36" s="22" t="str">
        <f>IF(RISK进展队列GEO回末测序数据整理!D35="女","女性",IF(RISK进展队列GEO回末测序数据整理!D35="男","男性",TRIM(RISK进展队列GEO回末测序数据整理!D35)))</f>
        <v>男性</v>
      </c>
      <c r="U36" s="22">
        <f>RISK进展队列GEO回末测序数据整理!E35</f>
        <v>7.75</v>
      </c>
      <c r="V36" s="22" t="str">
        <f>RISK进展队列GEO回末测序数据整理!F35</f>
        <v>A1a</v>
      </c>
      <c r="W36" s="22" t="str">
        <f>IF(RISK进展队列GEO回末测序数据整理!I35="Macroscopic inflammation","Macro",IF(RISK进展队列GEO回末测序数据整理!I35="Microscopic inflammation","Micro",TRIM(RISK进展队列GEO回末测序数据整理!I35)))</f>
        <v>NA</v>
      </c>
      <c r="X36" s="22" t="str">
        <f>IF(RISK进展队列GEO回末测序数据整理!J35=1,"Yes",IF(RISK进展队列GEO回末测序数据整理!J35=0,"No","N/A"))</f>
        <v>N/A</v>
      </c>
      <c r="Y36" s="22">
        <f>IF(Q36="","",IF(COUNTIF($Q$3:Q36,Q36)=1,1,0))</f>
        <v>1</v>
      </c>
      <c r="Z36" s="22">
        <f>IF(Q36="","",IF(COUNTIFS($Q$3:Q36,Q36,$R$3:R36,R36)=1,1,0))</f>
        <v>1</v>
      </c>
    </row>
    <row r="37" spans="1:26" ht="30" customHeight="1" x14ac:dyDescent="0.4">
      <c r="A37" s="24" t="s">
        <v>759</v>
      </c>
      <c r="B37" s="24" t="s">
        <v>737</v>
      </c>
      <c r="C37" s="24" t="s">
        <v>738</v>
      </c>
      <c r="D37" s="24" t="s">
        <v>726</v>
      </c>
      <c r="P37" s="22" t="str">
        <f>RISK进展队列GEO回末测序数据整理!A36</f>
        <v>GSM1598442</v>
      </c>
      <c r="Q37" s="22" t="str">
        <f>RISK进展队列GEO回末测序数据整理!B36</f>
        <v>CCFA_Risk_035</v>
      </c>
      <c r="R37" s="22" t="str">
        <f>IF(LOWER(TRIM(RISK进展队列GEO回末测序数据整理!G36))="not ibd","Not IBD",TRIM(RISK进展队列GEO回末测序数据整理!G36))</f>
        <v>Not IBD</v>
      </c>
      <c r="S37" s="22" t="str">
        <f>IF(LOWER(TRIM(RISK进展队列GEO回末测序数据整理!H36))="not ibd","Not IBD",TRIM(RISK进展队列GEO回末测序数据整理!H36))</f>
        <v>Not IBD</v>
      </c>
      <c r="T37" s="22" t="str">
        <f>IF(RISK进展队列GEO回末测序数据整理!D36="女","女性",IF(RISK进展队列GEO回末测序数据整理!D36="男","男性",TRIM(RISK进展队列GEO回末测序数据整理!D36)))</f>
        <v>男性</v>
      </c>
      <c r="U37" s="22">
        <f>RISK进展队列GEO回末测序数据整理!E36</f>
        <v>11.5</v>
      </c>
      <c r="V37" s="22" t="str">
        <f>RISK进展队列GEO回末测序数据整理!F36</f>
        <v>A1b</v>
      </c>
      <c r="W37" s="22" t="str">
        <f>IF(RISK进展队列GEO回末测序数据整理!I36="Macroscopic inflammation","Macro",IF(RISK进展队列GEO回末测序数据整理!I36="Microscopic inflammation","Micro",TRIM(RISK进展队列GEO回末测序数据整理!I36)))</f>
        <v>NA</v>
      </c>
      <c r="X37" s="22" t="str">
        <f>IF(RISK进展队列GEO回末测序数据整理!J36=1,"Yes",IF(RISK进展队列GEO回末测序数据整理!J36=0,"No","N/A"))</f>
        <v>N/A</v>
      </c>
      <c r="Y37" s="22">
        <f>IF(Q37="","",IF(COUNTIF($Q$3:Q37,Q37)=1,1,0))</f>
        <v>1</v>
      </c>
      <c r="Z37" s="22">
        <f>IF(Q37="","",IF(COUNTIFS($Q$3:Q37,Q37,$R$3:R37,R37)=1,1,0))</f>
        <v>1</v>
      </c>
    </row>
    <row r="38" spans="1:26" x14ac:dyDescent="0.4">
      <c r="A38" s="25" t="s">
        <v>65</v>
      </c>
      <c r="B38" s="26">
        <f>COUNTIF($V$3:$V$324,A38)</f>
        <v>90</v>
      </c>
      <c r="C38" s="28">
        <f>IFERROR(B38/$B$40,"")</f>
        <v>0.27950310559006208</v>
      </c>
      <c r="D38" s="25" t="s">
        <v>760</v>
      </c>
      <c r="P38" s="22" t="str">
        <f>RISK进展队列GEO回末测序数据整理!A37</f>
        <v>GSM1598443</v>
      </c>
      <c r="Q38" s="22" t="str">
        <f>RISK进展队列GEO回末测序数据整理!B37</f>
        <v>CCFA_Risk_036</v>
      </c>
      <c r="R38" s="22" t="str">
        <f>IF(LOWER(TRIM(RISK进展队列GEO回末测序数据整理!G37))="not ibd","Not IBD",TRIM(RISK进展队列GEO回末测序数据整理!G37))</f>
        <v>Not IBD</v>
      </c>
      <c r="S38" s="22" t="str">
        <f>IF(LOWER(TRIM(RISK进展队列GEO回末测序数据整理!H37))="not ibd","Not IBD",TRIM(RISK进展队列GEO回末测序数据整理!H37))</f>
        <v>Not IBD</v>
      </c>
      <c r="T38" s="22" t="str">
        <f>IF(RISK进展队列GEO回末测序数据整理!D37="女","女性",IF(RISK进展队列GEO回末测序数据整理!D37="男","男性",TRIM(RISK进展队列GEO回末测序数据整理!D37)))</f>
        <v>男性</v>
      </c>
      <c r="U38" s="22">
        <f>RISK进展队列GEO回末测序数据整理!E37</f>
        <v>10.5</v>
      </c>
      <c r="V38" s="22" t="str">
        <f>RISK进展队列GEO回末测序数据整理!F37</f>
        <v>A1b</v>
      </c>
      <c r="W38" s="22" t="str">
        <f>IF(RISK进展队列GEO回末测序数据整理!I37="Macroscopic inflammation","Macro",IF(RISK进展队列GEO回末测序数据整理!I37="Microscopic inflammation","Micro",TRIM(RISK进展队列GEO回末测序数据整理!I37)))</f>
        <v>NA</v>
      </c>
      <c r="X38" s="22" t="str">
        <f>IF(RISK进展队列GEO回末测序数据整理!J37=1,"Yes",IF(RISK进展队列GEO回末测序数据整理!J37=0,"No","N/A"))</f>
        <v>N/A</v>
      </c>
      <c r="Y38" s="22">
        <f>IF(Q38="","",IF(COUNTIF($Q$3:Q38,Q38)=1,1,0))</f>
        <v>1</v>
      </c>
      <c r="Z38" s="22">
        <f>IF(Q38="","",IF(COUNTIFS($Q$3:Q38,Q38,$R$3:R38,R38)=1,1,0))</f>
        <v>1</v>
      </c>
    </row>
    <row r="39" spans="1:26" x14ac:dyDescent="0.4">
      <c r="A39" s="25" t="s">
        <v>47</v>
      </c>
      <c r="B39" s="26">
        <f>COUNTIF($V$3:$V$324,A39)</f>
        <v>232</v>
      </c>
      <c r="C39" s="28">
        <f>IFERROR(B39/$B$40,"")</f>
        <v>0.72049689440993792</v>
      </c>
      <c r="D39" s="25" t="s">
        <v>760</v>
      </c>
      <c r="P39" s="22" t="str">
        <f>RISK进展队列GEO回末测序数据整理!A38</f>
        <v>GSM1598444</v>
      </c>
      <c r="Q39" s="22" t="str">
        <f>RISK进展队列GEO回末测序数据整理!B38</f>
        <v>CCFA_Risk_037</v>
      </c>
      <c r="R39" s="22" t="str">
        <f>IF(LOWER(TRIM(RISK进展队列GEO回末测序数据整理!G38))="not ibd","Not IBD",TRIM(RISK进展队列GEO回末测序数据整理!G38))</f>
        <v>CD</v>
      </c>
      <c r="S39" s="22" t="str">
        <f>IF(LOWER(TRIM(RISK进展队列GEO回末测序数据整理!H38))="not ibd","Not IBD",TRIM(RISK进展队列GEO回末测序数据整理!H38))</f>
        <v>iCD</v>
      </c>
      <c r="T39" s="22" t="str">
        <f>IF(RISK进展队列GEO回末测序数据整理!D38="女","女性",IF(RISK进展队列GEO回末测序数据整理!D38="男","男性",TRIM(RISK进展队列GEO回末测序数据整理!D38)))</f>
        <v>男性</v>
      </c>
      <c r="U39" s="22">
        <f>RISK进展队列GEO回末测序数据整理!E38</f>
        <v>10.5</v>
      </c>
      <c r="V39" s="22" t="str">
        <f>RISK进展队列GEO回末测序数据整理!F38</f>
        <v>A1b</v>
      </c>
      <c r="W39" s="22" t="str">
        <f>IF(RISK进展队列GEO回末测序数据整理!I38="Macroscopic inflammation","Macro",IF(RISK进展队列GEO回末测序数据整理!I38="Microscopic inflammation","Micro",TRIM(RISK进展队列GEO回末测序数据整理!I38)))</f>
        <v>Macro</v>
      </c>
      <c r="X39" s="22" t="str">
        <f>IF(RISK进展队列GEO回末测序数据整理!J38=1,"Yes",IF(RISK进展队列GEO回末测序数据整理!J38=0,"No","N/A"))</f>
        <v>Yes</v>
      </c>
      <c r="Y39" s="22">
        <f>IF(Q39="","",IF(COUNTIF($Q$3:Q39,Q39)=1,1,0))</f>
        <v>1</v>
      </c>
      <c r="Z39" s="22">
        <f>IF(Q39="","",IF(COUNTIFS($Q$3:Q39,Q39,$R$3:R39,R39)=1,1,0))</f>
        <v>1</v>
      </c>
    </row>
    <row r="40" spans="1:26" x14ac:dyDescent="0.4">
      <c r="A40" s="29" t="s">
        <v>10</v>
      </c>
      <c r="B40" s="30">
        <f>SUM(B38:B39)</f>
        <v>322</v>
      </c>
      <c r="C40" s="31">
        <f>SUM(C38:C39)</f>
        <v>1</v>
      </c>
      <c r="D40" s="29"/>
      <c r="P40" s="22" t="str">
        <f>RISK进展队列GEO回末测序数据整理!A39</f>
        <v>GSM1598445</v>
      </c>
      <c r="Q40" s="22" t="str">
        <f>RISK进展队列GEO回末测序数据整理!B39</f>
        <v>CCFA_Risk_038</v>
      </c>
      <c r="R40" s="22" t="str">
        <f>IF(LOWER(TRIM(RISK进展队列GEO回末测序数据整理!G39))="not ibd","Not IBD",TRIM(RISK进展队列GEO回末测序数据整理!G39))</f>
        <v>Not IBD</v>
      </c>
      <c r="S40" s="22" t="str">
        <f>IF(LOWER(TRIM(RISK进展队列GEO回末测序数据整理!H39))="not ibd","Not IBD",TRIM(RISK进展队列GEO回末测序数据整理!H39))</f>
        <v>Not IBD</v>
      </c>
      <c r="T40" s="22" t="str">
        <f>IF(RISK进展队列GEO回末测序数据整理!D39="女","女性",IF(RISK进展队列GEO回末测序数据整理!D39="男","男性",TRIM(RISK进展队列GEO回末测序数据整理!D39)))</f>
        <v>男性</v>
      </c>
      <c r="U40" s="22">
        <f>RISK进展队列GEO回末测序数据整理!E39</f>
        <v>8.67</v>
      </c>
      <c r="V40" s="22" t="str">
        <f>RISK进展队列GEO回末测序数据整理!F39</f>
        <v>A1a</v>
      </c>
      <c r="W40" s="22" t="str">
        <f>IF(RISK进展队列GEO回末测序数据整理!I39="Macroscopic inflammation","Macro",IF(RISK进展队列GEO回末测序数据整理!I39="Microscopic inflammation","Micro",TRIM(RISK进展队列GEO回末测序数据整理!I39)))</f>
        <v>NA</v>
      </c>
      <c r="X40" s="22" t="str">
        <f>IF(RISK进展队列GEO回末测序数据整理!J39=1,"Yes",IF(RISK进展队列GEO回末测序数据整理!J39=0,"No","N/A"))</f>
        <v>N/A</v>
      </c>
      <c r="Y40" s="22">
        <f>IF(Q40="","",IF(COUNTIF($Q$3:Q40,Q40)=1,1,0))</f>
        <v>1</v>
      </c>
      <c r="Z40" s="22">
        <f>IF(Q40="","",IF(COUNTIFS($Q$3:Q40,Q40,$R$3:R40,R40)=1,1,0))</f>
        <v>1</v>
      </c>
    </row>
    <row r="41" spans="1:26" x14ac:dyDescent="0.4">
      <c r="P41" s="22" t="str">
        <f>RISK进展队列GEO回末测序数据整理!A40</f>
        <v>GSM1598446</v>
      </c>
      <c r="Q41" s="22" t="str">
        <f>RISK进展队列GEO回末测序数据整理!B40</f>
        <v>CCFA_Risk_039</v>
      </c>
      <c r="R41" s="22" t="str">
        <f>IF(LOWER(TRIM(RISK进展队列GEO回末测序数据整理!G40))="not ibd","Not IBD",TRIM(RISK进展队列GEO回末测序数据整理!G40))</f>
        <v>Not IBD</v>
      </c>
      <c r="S41" s="22" t="str">
        <f>IF(LOWER(TRIM(RISK进展队列GEO回末测序数据整理!H40))="not ibd","Not IBD",TRIM(RISK进展队列GEO回末测序数据整理!H40))</f>
        <v>Not IBD</v>
      </c>
      <c r="T41" s="22" t="str">
        <f>IF(RISK进展队列GEO回末测序数据整理!D40="女","女性",IF(RISK进展队列GEO回末测序数据整理!D40="男","男性",TRIM(RISK进展队列GEO回末测序数据整理!D40)))</f>
        <v>女性</v>
      </c>
      <c r="U41" s="22">
        <f>RISK进展队列GEO回末测序数据整理!E40</f>
        <v>15.33</v>
      </c>
      <c r="V41" s="22" t="str">
        <f>RISK进展队列GEO回末测序数据整理!F40</f>
        <v>A1b</v>
      </c>
      <c r="W41" s="22" t="str">
        <f>IF(RISK进展队列GEO回末测序数据整理!I40="Macroscopic inflammation","Macro",IF(RISK进展队列GEO回末测序数据整理!I40="Microscopic inflammation","Micro",TRIM(RISK进展队列GEO回末测序数据整理!I40)))</f>
        <v>NA</v>
      </c>
      <c r="X41" s="22" t="str">
        <f>IF(RISK进展队列GEO回末测序数据整理!J40=1,"Yes",IF(RISK进展队列GEO回末测序数据整理!J40=0,"No","N/A"))</f>
        <v>N/A</v>
      </c>
      <c r="Y41" s="22">
        <f>IF(Q41="","",IF(COUNTIF($Q$3:Q41,Q41)=1,1,0))</f>
        <v>1</v>
      </c>
      <c r="Z41" s="22">
        <f>IF(Q41="","",IF(COUNTIFS($Q$3:Q41,Q41,$R$3:R41,R41)=1,1,0))</f>
        <v>1</v>
      </c>
    </row>
    <row r="42" spans="1:26" ht="21" customHeight="1" x14ac:dyDescent="0.4">
      <c r="A42" s="23" t="s">
        <v>761</v>
      </c>
      <c r="B42" s="23"/>
      <c r="C42" s="23"/>
      <c r="D42" s="23"/>
      <c r="E42" s="23"/>
      <c r="F42" s="23"/>
      <c r="G42" s="23"/>
      <c r="H42" s="23"/>
      <c r="I42" s="23"/>
      <c r="P42" s="22" t="str">
        <f>RISK进展队列GEO回末测序数据整理!A41</f>
        <v>GSM1598447</v>
      </c>
      <c r="Q42" s="22" t="str">
        <f>RISK进展队列GEO回末测序数据整理!B41</f>
        <v>CCFA_Risk_040</v>
      </c>
      <c r="R42" s="22" t="str">
        <f>IF(LOWER(TRIM(RISK进展队列GEO回末测序数据整理!G41))="not ibd","Not IBD",TRIM(RISK进展队列GEO回末测序数据整理!G41))</f>
        <v>CD</v>
      </c>
      <c r="S42" s="22" t="str">
        <f>IF(LOWER(TRIM(RISK进展队列GEO回末测序数据整理!H41))="not ibd","Not IBD",TRIM(RISK进展队列GEO回末测序数据整理!H41))</f>
        <v>iCD</v>
      </c>
      <c r="T42" s="22" t="str">
        <f>IF(RISK进展队列GEO回末测序数据整理!D41="女","女性",IF(RISK进展队列GEO回末测序数据整理!D41="男","男性",TRIM(RISK进展队列GEO回末测序数据整理!D41)))</f>
        <v>女性</v>
      </c>
      <c r="U42" s="22">
        <f>RISK进展队列GEO回末测序数据整理!E41</f>
        <v>9.17</v>
      </c>
      <c r="V42" s="22" t="str">
        <f>RISK进展队列GEO回末测序数据整理!F41</f>
        <v>A1a</v>
      </c>
      <c r="W42" s="22" t="str">
        <f>IF(RISK进展队列GEO回末测序数据整理!I41="Macroscopic inflammation","Macro",IF(RISK进展队列GEO回末测序数据整理!I41="Microscopic inflammation","Micro",TRIM(RISK进展队列GEO回末测序数据整理!I41)))</f>
        <v>Macro</v>
      </c>
      <c r="X42" s="22" t="str">
        <f>IF(RISK进展队列GEO回末测序数据整理!J41=1,"Yes",IF(RISK进展队列GEO回末测序数据整理!J41=0,"No","N/A"))</f>
        <v>No</v>
      </c>
      <c r="Y42" s="22">
        <f>IF(Q42="","",IF(COUNTIF($Q$3:Q42,Q42)=1,1,0))</f>
        <v>1</v>
      </c>
      <c r="Z42" s="22">
        <f>IF(Q42="","",IF(COUNTIFS($Q$3:Q42,Q42,$R$3:R42,R42)=1,1,0))</f>
        <v>1</v>
      </c>
    </row>
    <row r="43" spans="1:26" ht="30" customHeight="1" x14ac:dyDescent="0.4">
      <c r="A43" s="24" t="s">
        <v>762</v>
      </c>
      <c r="B43" s="24" t="s">
        <v>8</v>
      </c>
      <c r="C43" s="24" t="s">
        <v>6</v>
      </c>
      <c r="D43" s="24" t="s">
        <v>757</v>
      </c>
      <c r="E43" s="24" t="s">
        <v>755</v>
      </c>
      <c r="F43" s="24" t="s">
        <v>726</v>
      </c>
      <c r="P43" s="22" t="str">
        <f>RISK进展队列GEO回末测序数据整理!A42</f>
        <v>GSM1598448</v>
      </c>
      <c r="Q43" s="22" t="str">
        <f>RISK进展队列GEO回末测序数据整理!B42</f>
        <v>CCFA_Risk_041</v>
      </c>
      <c r="R43" s="22" t="str">
        <f>IF(LOWER(TRIM(RISK进展队列GEO回末测序数据整理!G42))="not ibd","Not IBD",TRIM(RISK进展队列GEO回末测序数据整理!G42))</f>
        <v>Not IBD</v>
      </c>
      <c r="S43" s="22" t="str">
        <f>IF(LOWER(TRIM(RISK进展队列GEO回末测序数据整理!H42))="not ibd","Not IBD",TRIM(RISK进展队列GEO回末测序数据整理!H42))</f>
        <v>Not IBD</v>
      </c>
      <c r="T43" s="22" t="str">
        <f>IF(RISK进展队列GEO回末测序数据整理!D42="女","女性",IF(RISK进展队列GEO回末测序数据整理!D42="男","男性",TRIM(RISK进展队列GEO回末测序数据整理!D42)))</f>
        <v>男性</v>
      </c>
      <c r="U43" s="22">
        <f>RISK进展队列GEO回末测序数据整理!E42</f>
        <v>4.83</v>
      </c>
      <c r="V43" s="22" t="str">
        <f>RISK进展队列GEO回末测序数据整理!F42</f>
        <v>A1a</v>
      </c>
      <c r="W43" s="22" t="str">
        <f>IF(RISK进展队列GEO回末测序数据整理!I42="Macroscopic inflammation","Macro",IF(RISK进展队列GEO回末测序数据整理!I42="Microscopic inflammation","Micro",TRIM(RISK进展队列GEO回末测序数据整理!I42)))</f>
        <v>NA</v>
      </c>
      <c r="X43" s="22" t="str">
        <f>IF(RISK进展队列GEO回末测序数据整理!J42=1,"Yes",IF(RISK进展队列GEO回末测序数据整理!J42=0,"No","N/A"))</f>
        <v>N/A</v>
      </c>
      <c r="Y43" s="22">
        <f>IF(Q43="","",IF(COUNTIF($Q$3:Q43,Q43)=1,1,0))</f>
        <v>1</v>
      </c>
      <c r="Z43" s="22">
        <f>IF(Q43="","",IF(COUNTIFS($Q$3:Q43,Q43,$R$3:R43,R43)=1,1,0))</f>
        <v>1</v>
      </c>
    </row>
    <row r="44" spans="1:26" x14ac:dyDescent="0.4">
      <c r="A44" s="25" t="s">
        <v>763</v>
      </c>
      <c r="B44" s="26">
        <f>COUNTIFS($S$3:$S$324,"cCD",$W$3:$W$324,A44)</f>
        <v>0</v>
      </c>
      <c r="C44" s="26">
        <f>COUNTIFS($S$3:$S$324,"iCD",$W$3:$W$324,A44)</f>
        <v>162</v>
      </c>
      <c r="D44" s="26">
        <f>SUM(B44:C44)</f>
        <v>162</v>
      </c>
      <c r="E44" s="28">
        <f>IFERROR(D44/$D$48,"")</f>
        <v>0.74311926605504586</v>
      </c>
      <c r="F44" s="25" t="s">
        <v>764</v>
      </c>
      <c r="P44" s="22" t="str">
        <f>RISK进展队列GEO回末测序数据整理!A43</f>
        <v>GSM1598449</v>
      </c>
      <c r="Q44" s="22" t="str">
        <f>RISK进展队列GEO回末测序数据整理!B43</f>
        <v>CCFA_Risk_042</v>
      </c>
      <c r="R44" s="22" t="str">
        <f>IF(LOWER(TRIM(RISK进展队列GEO回末测序数据整理!G43))="not ibd","Not IBD",TRIM(RISK进展队列GEO回末测序数据整理!G43))</f>
        <v>Not IBD</v>
      </c>
      <c r="S44" s="22" t="str">
        <f>IF(LOWER(TRIM(RISK进展队列GEO回末测序数据整理!H43))="not ibd","Not IBD",TRIM(RISK进展队列GEO回末测序数据整理!H43))</f>
        <v>Not IBD</v>
      </c>
      <c r="T44" s="22" t="str">
        <f>IF(RISK进展队列GEO回末测序数据整理!D43="女","女性",IF(RISK进展队列GEO回末测序数据整理!D43="男","男性",TRIM(RISK进展队列GEO回末测序数据整理!D43)))</f>
        <v>男性</v>
      </c>
      <c r="U44" s="22">
        <f>RISK进展队列GEO回末测序数据整理!E43</f>
        <v>12</v>
      </c>
      <c r="V44" s="22" t="str">
        <f>RISK进展队列GEO回末测序数据整理!F43</f>
        <v>A1b</v>
      </c>
      <c r="W44" s="22" t="str">
        <f>IF(RISK进展队列GEO回末测序数据整理!I43="Macroscopic inflammation","Macro",IF(RISK进展队列GEO回末测序数据整理!I43="Microscopic inflammation","Micro",TRIM(RISK进展队列GEO回末测序数据整理!I43)))</f>
        <v>NA</v>
      </c>
      <c r="X44" s="22" t="str">
        <f>IF(RISK进展队列GEO回末测序数据整理!J43=1,"Yes",IF(RISK进展队列GEO回末测序数据整理!J43=0,"No","N/A"))</f>
        <v>N/A</v>
      </c>
      <c r="Y44" s="22">
        <f>IF(Q44="","",IF(COUNTIF($Q$3:Q44,Q44)=1,1,0))</f>
        <v>1</v>
      </c>
      <c r="Z44" s="22">
        <f>IF(Q44="","",IF(COUNTIFS($Q$3:Q44,Q44,$R$3:R44,R44)=1,1,0))</f>
        <v>1</v>
      </c>
    </row>
    <row r="45" spans="1:26" x14ac:dyDescent="0.4">
      <c r="A45" s="25" t="s">
        <v>765</v>
      </c>
      <c r="B45" s="26">
        <f>COUNTIFS($S$3:$S$324,"cCD",$W$3:$W$324,A45)</f>
        <v>28</v>
      </c>
      <c r="C45" s="26">
        <f>COUNTIFS($S$3:$S$324,"iCD",$W$3:$W$324,A45)</f>
        <v>1</v>
      </c>
      <c r="D45" s="26">
        <f>SUM(B45:C45)</f>
        <v>29</v>
      </c>
      <c r="E45" s="28">
        <f>IFERROR(D45/$D$48,"")</f>
        <v>0.13302752293577982</v>
      </c>
      <c r="F45" s="25" t="s">
        <v>764</v>
      </c>
      <c r="P45" s="22" t="str">
        <f>RISK进展队列GEO回末测序数据整理!A44</f>
        <v>GSM1598450</v>
      </c>
      <c r="Q45" s="22" t="str">
        <f>RISK进展队列GEO回末测序数据整理!B44</f>
        <v>CCFA_Risk_043</v>
      </c>
      <c r="R45" s="22" t="str">
        <f>IF(LOWER(TRIM(RISK进展队列GEO回末测序数据整理!G44))="not ibd","Not IBD",TRIM(RISK进展队列GEO回末测序数据整理!G44))</f>
        <v>CD</v>
      </c>
      <c r="S45" s="22" t="str">
        <f>IF(LOWER(TRIM(RISK进展队列GEO回末测序数据整理!H44))="not ibd","Not IBD",TRIM(RISK进展队列GEO回末测序数据整理!H44))</f>
        <v>iCD</v>
      </c>
      <c r="T45" s="22" t="str">
        <f>IF(RISK进展队列GEO回末测序数据整理!D44="女","女性",IF(RISK进展队列GEO回末测序数据整理!D44="男","男性",TRIM(RISK进展队列GEO回末测序数据整理!D44)))</f>
        <v>女性</v>
      </c>
      <c r="U45" s="22">
        <f>RISK进展队列GEO回末测序数据整理!E44</f>
        <v>12.08</v>
      </c>
      <c r="V45" s="22" t="str">
        <f>RISK进展队列GEO回末测序数据整理!F44</f>
        <v>A1b</v>
      </c>
      <c r="W45" s="22" t="str">
        <f>IF(RISK进展队列GEO回末测序数据整理!I44="Macroscopic inflammation","Macro",IF(RISK进展队列GEO回末测序数据整理!I44="Microscopic inflammation","Micro",TRIM(RISK进展队列GEO回末测序数据整理!I44)))</f>
        <v>Macro</v>
      </c>
      <c r="X45" s="22" t="str">
        <f>IF(RISK进展队列GEO回末测序数据整理!J44=1,"Yes",IF(RISK进展队列GEO回末测序数据整理!J44=0,"No","N/A"))</f>
        <v>No</v>
      </c>
      <c r="Y45" s="22">
        <f>IF(Q45="","",IF(COUNTIF($Q$3:Q45,Q45)=1,1,0))</f>
        <v>1</v>
      </c>
      <c r="Z45" s="22">
        <f>IF(Q45="","",IF(COUNTIFS($Q$3:Q45,Q45,$R$3:R45,R45)=1,1,0))</f>
        <v>1</v>
      </c>
    </row>
    <row r="46" spans="1:26" x14ac:dyDescent="0.4">
      <c r="A46" s="25" t="s">
        <v>17</v>
      </c>
      <c r="B46" s="26">
        <f>COUNTIFS($S$3:$S$324,"cCD",$W$3:$W$324,A46)</f>
        <v>24</v>
      </c>
      <c r="C46" s="26">
        <f>COUNTIFS($S$3:$S$324,"iCD",$W$3:$W$324,A46)</f>
        <v>0</v>
      </c>
      <c r="D46" s="26">
        <f>SUM(B46:C46)</f>
        <v>24</v>
      </c>
      <c r="E46" s="28">
        <f>IFERROR(D46/$D$48,"")</f>
        <v>0.11009174311926606</v>
      </c>
      <c r="F46" s="25" t="s">
        <v>764</v>
      </c>
      <c r="P46" s="22" t="str">
        <f>RISK进展队列GEO回末测序数据整理!A45</f>
        <v>GSM1598451</v>
      </c>
      <c r="Q46" s="22" t="str">
        <f>RISK进展队列GEO回末测序数据整理!B45</f>
        <v>CCFA_Risk_044</v>
      </c>
      <c r="R46" s="22" t="str">
        <f>IF(LOWER(TRIM(RISK进展队列GEO回末测序数据整理!G45))="not ibd","Not IBD",TRIM(RISK进展队列GEO回末测序数据整理!G45))</f>
        <v>Not IBD</v>
      </c>
      <c r="S46" s="22" t="str">
        <f>IF(LOWER(TRIM(RISK进展队列GEO回末测序数据整理!H45))="not ibd","Not IBD",TRIM(RISK进展队列GEO回末测序数据整理!H45))</f>
        <v>Not IBD</v>
      </c>
      <c r="T46" s="22" t="str">
        <f>IF(RISK进展队列GEO回末测序数据整理!D45="女","女性",IF(RISK进展队列GEO回末测序数据整理!D45="男","男性",TRIM(RISK进展队列GEO回末测序数据整理!D45)))</f>
        <v>男性</v>
      </c>
      <c r="U46" s="22">
        <f>RISK进展队列GEO回末测序数据整理!E45</f>
        <v>9.17</v>
      </c>
      <c r="V46" s="22" t="str">
        <f>RISK进展队列GEO回末测序数据整理!F45</f>
        <v>A1a</v>
      </c>
      <c r="W46" s="22" t="str">
        <f>IF(RISK进展队列GEO回末测序数据整理!I45="Macroscopic inflammation","Macro",IF(RISK进展队列GEO回末测序数据整理!I45="Microscopic inflammation","Micro",TRIM(RISK进展队列GEO回末测序数据整理!I45)))</f>
        <v>NA</v>
      </c>
      <c r="X46" s="22" t="str">
        <f>IF(RISK进展队列GEO回末测序数据整理!J45=1,"Yes",IF(RISK进展队列GEO回末测序数据整理!J45=0,"No","N/A"))</f>
        <v>N/A</v>
      </c>
      <c r="Y46" s="22">
        <f>IF(Q46="","",IF(COUNTIF($Q$3:Q46,Q46)=1,1,0))</f>
        <v>1</v>
      </c>
      <c r="Z46" s="22">
        <f>IF(Q46="","",IF(COUNTIFS($Q$3:Q46,Q46,$R$3:R46,R46)=1,1,0))</f>
        <v>1</v>
      </c>
    </row>
    <row r="47" spans="1:26" x14ac:dyDescent="0.4">
      <c r="A47" s="25" t="s">
        <v>19</v>
      </c>
      <c r="B47" s="26">
        <f>COUNTIFS($S$3:$S$324,"cCD",$W$3:$W$324,A47)</f>
        <v>3</v>
      </c>
      <c r="C47" s="26">
        <f>COUNTIFS($S$3:$S$324,"iCD",$W$3:$W$324,A47)</f>
        <v>0</v>
      </c>
      <c r="D47" s="26">
        <f>SUM(B47:C47)</f>
        <v>3</v>
      </c>
      <c r="E47" s="28">
        <f>IFERROR(D47/$D$48,"")</f>
        <v>1.3761467889908258E-2</v>
      </c>
      <c r="F47" s="25" t="s">
        <v>764</v>
      </c>
      <c r="P47" s="22" t="str">
        <f>RISK进展队列GEO回末测序数据整理!A46</f>
        <v>GSM1598452</v>
      </c>
      <c r="Q47" s="22" t="str">
        <f>RISK进展队列GEO回末测序数据整理!B46</f>
        <v>CCFA_Risk_045</v>
      </c>
      <c r="R47" s="22" t="str">
        <f>IF(LOWER(TRIM(RISK进展队列GEO回末测序数据整理!G46))="not ibd","Not IBD",TRIM(RISK进展队列GEO回末测序数据整理!G46))</f>
        <v>CD</v>
      </c>
      <c r="S47" s="22" t="str">
        <f>IF(LOWER(TRIM(RISK进展队列GEO回末测序数据整理!H46))="not ibd","Not IBD",TRIM(RISK进展队列GEO回末测序数据整理!H46))</f>
        <v>iCD</v>
      </c>
      <c r="T47" s="22" t="str">
        <f>IF(RISK进展队列GEO回末测序数据整理!D46="女","女性",IF(RISK进展队列GEO回末测序数据整理!D46="男","男性",TRIM(RISK进展队列GEO回末测序数据整理!D46)))</f>
        <v>男性</v>
      </c>
      <c r="U47" s="22">
        <f>RISK进展队列GEO回末测序数据整理!E46</f>
        <v>5.42</v>
      </c>
      <c r="V47" s="22" t="str">
        <f>RISK进展队列GEO回末测序数据整理!F46</f>
        <v>A1a</v>
      </c>
      <c r="W47" s="22" t="str">
        <f>IF(RISK进展队列GEO回末测序数据整理!I46="Macroscopic inflammation","Macro",IF(RISK进展队列GEO回末测序数据整理!I46="Microscopic inflammation","Micro",TRIM(RISK进展队列GEO回末测序数据整理!I46)))</f>
        <v>Macro</v>
      </c>
      <c r="X47" s="22" t="str">
        <f>IF(RISK进展队列GEO回末测序数据整理!J46=1,"Yes",IF(RISK进展队列GEO回末测序数据整理!J46=0,"No","N/A"))</f>
        <v>No</v>
      </c>
      <c r="Y47" s="22">
        <f>IF(Q47="","",IF(COUNTIF($Q$3:Q47,Q47)=1,1,0))</f>
        <v>1</v>
      </c>
      <c r="Z47" s="22">
        <f>IF(Q47="","",IF(COUNTIFS($Q$3:Q47,Q47,$R$3:R47,R47)=1,1,0))</f>
        <v>1</v>
      </c>
    </row>
    <row r="48" spans="1:26" x14ac:dyDescent="0.4">
      <c r="A48" s="29" t="s">
        <v>757</v>
      </c>
      <c r="B48" s="30">
        <f>SUM(B44:B47)</f>
        <v>55</v>
      </c>
      <c r="C48" s="30">
        <f>SUM(C44:C47)</f>
        <v>163</v>
      </c>
      <c r="D48" s="30">
        <f>SUM(D44:D47)</f>
        <v>218</v>
      </c>
      <c r="E48" s="31">
        <f>SUM(E44:E47)</f>
        <v>1</v>
      </c>
      <c r="F48" s="29"/>
      <c r="P48" s="22" t="str">
        <f>RISK进展队列GEO回末测序数据整理!A47</f>
        <v>GSM1598453</v>
      </c>
      <c r="Q48" s="22" t="str">
        <f>RISK进展队列GEO回末测序数据整理!B47</f>
        <v>CCFA_Risk_046</v>
      </c>
      <c r="R48" s="22" t="str">
        <f>IF(LOWER(TRIM(RISK进展队列GEO回末测序数据整理!G47))="not ibd","Not IBD",TRIM(RISK进展队列GEO回末测序数据整理!G47))</f>
        <v>CD</v>
      </c>
      <c r="S48" s="22" t="str">
        <f>IF(LOWER(TRIM(RISK进展队列GEO回末测序数据整理!H47))="not ibd","Not IBD",TRIM(RISK进展队列GEO回末测序数据整理!H47))</f>
        <v>iCD</v>
      </c>
      <c r="T48" s="22" t="str">
        <f>IF(RISK进展队列GEO回末测序数据整理!D47="女","女性",IF(RISK进展队列GEO回末测序数据整理!D47="男","男性",TRIM(RISK进展队列GEO回末测序数据整理!D47)))</f>
        <v>女性</v>
      </c>
      <c r="U48" s="22">
        <f>RISK进展队列GEO回末测序数据整理!E47</f>
        <v>15.17</v>
      </c>
      <c r="V48" s="22" t="str">
        <f>RISK进展队列GEO回末测序数据整理!F47</f>
        <v>A1b</v>
      </c>
      <c r="W48" s="22" t="str">
        <f>IF(RISK进展队列GEO回末测序数据整理!I47="Macroscopic inflammation","Macro",IF(RISK进展队列GEO回末测序数据整理!I47="Microscopic inflammation","Micro",TRIM(RISK进展队列GEO回末测序数据整理!I47)))</f>
        <v>Macro</v>
      </c>
      <c r="X48" s="22" t="str">
        <f>IF(RISK进展队列GEO回末测序数据整理!J47=1,"Yes",IF(RISK进展队列GEO回末测序数据整理!J47=0,"No","N/A"))</f>
        <v>Yes</v>
      </c>
      <c r="Y48" s="22">
        <f>IF(Q48="","",IF(COUNTIF($Q$3:Q48,Q48)=1,1,0))</f>
        <v>1</v>
      </c>
      <c r="Z48" s="22">
        <f>IF(Q48="","",IF(COUNTIFS($Q$3:Q48,Q48,$R$3:R48,R48)=1,1,0))</f>
        <v>1</v>
      </c>
    </row>
    <row r="49" spans="1:26" x14ac:dyDescent="0.4">
      <c r="P49" s="22" t="str">
        <f>RISK进展队列GEO回末测序数据整理!A48</f>
        <v>GSM1598454</v>
      </c>
      <c r="Q49" s="22" t="str">
        <f>RISK进展队列GEO回末测序数据整理!B48</f>
        <v>CCFA_Risk_047</v>
      </c>
      <c r="R49" s="22" t="str">
        <f>IF(LOWER(TRIM(RISK进展队列GEO回末测序数据整理!G48))="not ibd","Not IBD",TRIM(RISK进展队列GEO回末测序数据整理!G48))</f>
        <v>CD</v>
      </c>
      <c r="S49" s="22" t="str">
        <f>IF(LOWER(TRIM(RISK进展队列GEO回末测序数据整理!H48))="not ibd","Not IBD",TRIM(RISK进展队列GEO回末测序数据整理!H48))</f>
        <v>iCD</v>
      </c>
      <c r="T49" s="22" t="str">
        <f>IF(RISK进展队列GEO回末测序数据整理!D48="女","女性",IF(RISK进展队列GEO回末测序数据整理!D48="男","男性",TRIM(RISK进展队列GEO回末测序数据整理!D48)))</f>
        <v>女性</v>
      </c>
      <c r="U49" s="22">
        <f>RISK进展队列GEO回末测序数据整理!E48</f>
        <v>15.83</v>
      </c>
      <c r="V49" s="22" t="str">
        <f>RISK进展队列GEO回末测序数据整理!F48</f>
        <v>A1b</v>
      </c>
      <c r="W49" s="22" t="str">
        <f>IF(RISK进展队列GEO回末测序数据整理!I48="Macroscopic inflammation","Macro",IF(RISK进展队列GEO回末测序数据整理!I48="Microscopic inflammation","Micro",TRIM(RISK进展队列GEO回末测序数据整理!I48)))</f>
        <v>Macro</v>
      </c>
      <c r="X49" s="22" t="str">
        <f>IF(RISK进展队列GEO回末测序数据整理!J48=1,"Yes",IF(RISK进展队列GEO回末测序数据整理!J48=0,"No","N/A"))</f>
        <v>No</v>
      </c>
      <c r="Y49" s="22">
        <f>IF(Q49="","",IF(COUNTIF($Q$3:Q49,Q49)=1,1,0))</f>
        <v>1</v>
      </c>
      <c r="Z49" s="22">
        <f>IF(Q49="","",IF(COUNTIFS($Q$3:Q49,Q49,$R$3:R49,R49)=1,1,0))</f>
        <v>1</v>
      </c>
    </row>
    <row r="50" spans="1:26" ht="21" customHeight="1" x14ac:dyDescent="0.4">
      <c r="A50" s="23" t="s">
        <v>766</v>
      </c>
      <c r="B50" s="23"/>
      <c r="C50" s="23"/>
      <c r="D50" s="23"/>
      <c r="E50" s="23"/>
      <c r="F50" s="23"/>
      <c r="G50" s="23"/>
      <c r="H50" s="23"/>
      <c r="I50" s="23"/>
      <c r="P50" s="22" t="str">
        <f>RISK进展队列GEO回末测序数据整理!A49</f>
        <v>GSM1598455</v>
      </c>
      <c r="Q50" s="22" t="str">
        <f>RISK进展队列GEO回末测序数据整理!B49</f>
        <v>CCFA_Risk_048</v>
      </c>
      <c r="R50" s="22" t="str">
        <f>IF(LOWER(TRIM(RISK进展队列GEO回末测序数据整理!G49))="not ibd","Not IBD",TRIM(RISK进展队列GEO回末测序数据整理!G49))</f>
        <v>CD</v>
      </c>
      <c r="S50" s="22" t="str">
        <f>IF(LOWER(TRIM(RISK进展队列GEO回末测序数据整理!H49))="not ibd","Not IBD",TRIM(RISK进展队列GEO回末测序数据整理!H49))</f>
        <v>iCD</v>
      </c>
      <c r="T50" s="22" t="str">
        <f>IF(RISK进展队列GEO回末测序数据整理!D49="女","女性",IF(RISK进展队列GEO回末测序数据整理!D49="男","男性",TRIM(RISK进展队列GEO回末测序数据整理!D49)))</f>
        <v>男性</v>
      </c>
      <c r="U50" s="22">
        <f>RISK进展队列GEO回末测序数据整理!E49</f>
        <v>7.67</v>
      </c>
      <c r="V50" s="22" t="str">
        <f>RISK进展队列GEO回末测序数据整理!F49</f>
        <v>A1a</v>
      </c>
      <c r="W50" s="22" t="str">
        <f>IF(RISK进展队列GEO回末测序数据整理!I49="Macroscopic inflammation","Macro",IF(RISK进展队列GEO回末测序数据整理!I49="Microscopic inflammation","Micro",TRIM(RISK进展队列GEO回末测序数据整理!I49)))</f>
        <v>Macro</v>
      </c>
      <c r="X50" s="22" t="str">
        <f>IF(RISK进展队列GEO回末测序数据整理!J49=1,"Yes",IF(RISK进展队列GEO回末测序数据整理!J49=0,"No","N/A"))</f>
        <v>Yes</v>
      </c>
      <c r="Y50" s="22">
        <f>IF(Q50="","",IF(COUNTIF($Q$3:Q50,Q50)=1,1,0))</f>
        <v>1</v>
      </c>
      <c r="Z50" s="22">
        <f>IF(Q50="","",IF(COUNTIFS($Q$3:Q50,Q50,$R$3:R50,R50)=1,1,0))</f>
        <v>1</v>
      </c>
    </row>
    <row r="51" spans="1:26" ht="30" customHeight="1" x14ac:dyDescent="0.4">
      <c r="A51" s="24" t="s">
        <v>12</v>
      </c>
      <c r="B51" s="24" t="s">
        <v>8</v>
      </c>
      <c r="C51" s="24" t="s">
        <v>6</v>
      </c>
      <c r="D51" s="24" t="s">
        <v>757</v>
      </c>
      <c r="E51" s="24" t="s">
        <v>767</v>
      </c>
      <c r="F51" s="24" t="s">
        <v>726</v>
      </c>
      <c r="P51" s="22" t="str">
        <f>RISK进展队列GEO回末测序数据整理!A50</f>
        <v>GSM1598456</v>
      </c>
      <c r="Q51" s="22" t="str">
        <f>RISK进展队列GEO回末测序数据整理!B50</f>
        <v>CCFA_Risk_049</v>
      </c>
      <c r="R51" s="22" t="str">
        <f>IF(LOWER(TRIM(RISK进展队列GEO回末测序数据整理!G50))="not ibd","Not IBD",TRIM(RISK进展队列GEO回末测序数据整理!G50))</f>
        <v>CD</v>
      </c>
      <c r="S51" s="22" t="str">
        <f>IF(LOWER(TRIM(RISK进展队列GEO回末测序数据整理!H50))="not ibd","Not IBD",TRIM(RISK进展队列GEO回末测序数据整理!H50))</f>
        <v>iCD</v>
      </c>
      <c r="T51" s="22" t="str">
        <f>IF(RISK进展队列GEO回末测序数据整理!D50="女","女性",IF(RISK进展队列GEO回末测序数据整理!D50="男","男性",TRIM(RISK进展队列GEO回末测序数据整理!D50)))</f>
        <v>女性</v>
      </c>
      <c r="U51" s="22">
        <f>RISK进展队列GEO回末测序数据整理!E50</f>
        <v>10.08</v>
      </c>
      <c r="V51" s="22" t="str">
        <f>RISK进展队列GEO回末测序数据整理!F50</f>
        <v>A1b</v>
      </c>
      <c r="W51" s="22" t="str">
        <f>IF(RISK进展队列GEO回末测序数据整理!I50="Macroscopic inflammation","Macro",IF(RISK进展队列GEO回末测序数据整理!I50="Microscopic inflammation","Micro",TRIM(RISK进展队列GEO回末测序数据整理!I50)))</f>
        <v>Macro</v>
      </c>
      <c r="X51" s="22" t="str">
        <f>IF(RISK进展队列GEO回末测序数据整理!J50=1,"Yes",IF(RISK进展队列GEO回末测序数据整理!J50=0,"No","N/A"))</f>
        <v>Yes</v>
      </c>
      <c r="Y51" s="22">
        <f>IF(Q51="","",IF(COUNTIF($Q$3:Q51,Q51)=1,1,0))</f>
        <v>1</v>
      </c>
      <c r="Z51" s="22">
        <f>IF(Q51="","",IF(COUNTIFS($Q$3:Q51,Q51,$R$3:R51,R51)=1,1,0))</f>
        <v>1</v>
      </c>
    </row>
    <row r="52" spans="1:26" x14ac:dyDescent="0.4">
      <c r="A52" s="25" t="s">
        <v>28</v>
      </c>
      <c r="B52" s="26">
        <f>COUNTIFS($S$3:$S$324,"cCD",$X$3:$X$324,A52)</f>
        <v>0</v>
      </c>
      <c r="C52" s="26">
        <f>COUNTIFS($S$3:$S$324,"iCD",$X$3:$X$324,A52)</f>
        <v>76</v>
      </c>
      <c r="D52" s="26">
        <f>SUM(B52:C52)</f>
        <v>76</v>
      </c>
      <c r="E52" s="28">
        <f>IF(A52="N/A","",IFERROR(D52/$D$55,""))</f>
        <v>0.34862385321100919</v>
      </c>
      <c r="F52" s="25" t="s">
        <v>768</v>
      </c>
      <c r="P52" s="22" t="str">
        <f>RISK进展队列GEO回末测序数据整理!A51</f>
        <v>GSM1598457</v>
      </c>
      <c r="Q52" s="22" t="str">
        <f>RISK进展队列GEO回末测序数据整理!B51</f>
        <v>CCFA_Risk_050</v>
      </c>
      <c r="R52" s="22" t="str">
        <f>IF(LOWER(TRIM(RISK进展队列GEO回末测序数据整理!G51))="not ibd","Not IBD",TRIM(RISK进展队列GEO回末测序数据整理!G51))</f>
        <v>CD</v>
      </c>
      <c r="S52" s="22" t="str">
        <f>IF(LOWER(TRIM(RISK进展队列GEO回末测序数据整理!H51))="not ibd","Not IBD",TRIM(RISK进展队列GEO回末测序数据整理!H51))</f>
        <v>iCD</v>
      </c>
      <c r="T52" s="22" t="str">
        <f>IF(RISK进展队列GEO回末测序数据整理!D51="女","女性",IF(RISK进展队列GEO回末测序数据整理!D51="男","男性",TRIM(RISK进展队列GEO回末测序数据整理!D51)))</f>
        <v>男性</v>
      </c>
      <c r="U52" s="22">
        <f>RISK进展队列GEO回末测序数据整理!E51</f>
        <v>13.42</v>
      </c>
      <c r="V52" s="22" t="str">
        <f>RISK进展队列GEO回末测序数据整理!F51</f>
        <v>A1b</v>
      </c>
      <c r="W52" s="22" t="str">
        <f>IF(RISK进展队列GEO回末测序数据整理!I51="Macroscopic inflammation","Macro",IF(RISK进展队列GEO回末测序数据整理!I51="Microscopic inflammation","Micro",TRIM(RISK进展队列GEO回末测序数据整理!I51)))</f>
        <v>Macro</v>
      </c>
      <c r="X52" s="22" t="str">
        <f>IF(RISK进展队列GEO回末测序数据整理!J51=1,"Yes",IF(RISK进展队列GEO回末测序数据整理!J51=0,"No","N/A"))</f>
        <v>Yes</v>
      </c>
      <c r="Y52" s="22">
        <f>IF(Q52="","",IF(COUNTIF($Q$3:Q52,Q52)=1,1,0))</f>
        <v>1</v>
      </c>
      <c r="Z52" s="22">
        <f>IF(Q52="","",IF(COUNTIFS($Q$3:Q52,Q52,$R$3:R52,R52)=1,1,0))</f>
        <v>1</v>
      </c>
    </row>
    <row r="53" spans="1:26" x14ac:dyDescent="0.4">
      <c r="A53" s="25" t="s">
        <v>31</v>
      </c>
      <c r="B53" s="26">
        <f>COUNTIFS($S$3:$S$324,"cCD",$X$3:$X$324,A53)</f>
        <v>55</v>
      </c>
      <c r="C53" s="26">
        <f>COUNTIFS($S$3:$S$324,"iCD",$X$3:$X$324,A53)</f>
        <v>87</v>
      </c>
      <c r="D53" s="26">
        <f>SUM(B53:C53)</f>
        <v>142</v>
      </c>
      <c r="E53" s="28">
        <f>IF(A53="N/A","",IFERROR(D53/$D$55,""))</f>
        <v>0.65137614678899081</v>
      </c>
      <c r="F53" s="25" t="s">
        <v>768</v>
      </c>
      <c r="P53" s="22" t="str">
        <f>RISK进展队列GEO回末测序数据整理!A52</f>
        <v>GSM1598458</v>
      </c>
      <c r="Q53" s="22" t="str">
        <f>RISK进展队列GEO回末测序数据整理!B52</f>
        <v>CCFA_Risk_051</v>
      </c>
      <c r="R53" s="22" t="str">
        <f>IF(LOWER(TRIM(RISK进展队列GEO回末测序数据整理!G52))="not ibd","Not IBD",TRIM(RISK进展队列GEO回末测序数据整理!G52))</f>
        <v>CD</v>
      </c>
      <c r="S53" s="22" t="str">
        <f>IF(LOWER(TRIM(RISK进展队列GEO回末测序数据整理!H52))="not ibd","Not IBD",TRIM(RISK进展队列GEO回末测序数据整理!H52))</f>
        <v>iCD</v>
      </c>
      <c r="T53" s="22" t="str">
        <f>IF(RISK进展队列GEO回末测序数据整理!D52="女","女性",IF(RISK进展队列GEO回末测序数据整理!D52="男","男性",TRIM(RISK进展队列GEO回末测序数据整理!D52)))</f>
        <v>男性</v>
      </c>
      <c r="U53" s="22">
        <f>RISK进展队列GEO回末测序数据整理!E52</f>
        <v>8.75</v>
      </c>
      <c r="V53" s="22" t="str">
        <f>RISK进展队列GEO回末测序数据整理!F52</f>
        <v>A1a</v>
      </c>
      <c r="W53" s="22" t="str">
        <f>IF(RISK进展队列GEO回末测序数据整理!I52="Macroscopic inflammation","Macro",IF(RISK进展队列GEO回末测序数据整理!I52="Microscopic inflammation","Micro",TRIM(RISK进展队列GEO回末测序数据整理!I52)))</f>
        <v>Macro</v>
      </c>
      <c r="X53" s="22" t="str">
        <f>IF(RISK进展队列GEO回末测序数据整理!J52=1,"Yes",IF(RISK进展队列GEO回末测序数据整理!J52=0,"No","N/A"))</f>
        <v>Yes</v>
      </c>
      <c r="Y53" s="22">
        <f>IF(Q53="","",IF(COUNTIF($Q$3:Q53,Q53)=1,1,0))</f>
        <v>1</v>
      </c>
      <c r="Z53" s="22">
        <f>IF(Q53="","",IF(COUNTIFS($Q$3:Q53,Q53,$R$3:R53,R53)=1,1,0))</f>
        <v>1</v>
      </c>
    </row>
    <row r="54" spans="1:26" x14ac:dyDescent="0.4">
      <c r="A54" s="25" t="s">
        <v>769</v>
      </c>
      <c r="B54" s="26">
        <f>COUNTIFS($S$3:$S$324,"cCD",$X$3:$X$324,A54)</f>
        <v>0</v>
      </c>
      <c r="C54" s="26">
        <f>COUNTIFS($S$3:$S$324,"iCD",$X$3:$X$324,A54)</f>
        <v>0</v>
      </c>
      <c r="D54" s="26">
        <f>SUM(B54:C54)</f>
        <v>0</v>
      </c>
      <c r="E54" s="28" t="str">
        <f>IF(A54="N/A","",IFERROR(D54/$D$55,""))</f>
        <v/>
      </c>
      <c r="F54" s="25" t="s">
        <v>768</v>
      </c>
      <c r="P54" s="22" t="str">
        <f>RISK进展队列GEO回末测序数据整理!A53</f>
        <v>GSM1598459</v>
      </c>
      <c r="Q54" s="22" t="str">
        <f>RISK进展队列GEO回末测序数据整理!B53</f>
        <v>CCFA_Risk_052</v>
      </c>
      <c r="R54" s="22" t="str">
        <f>IF(LOWER(TRIM(RISK进展队列GEO回末测序数据整理!G53))="not ibd","Not IBD",TRIM(RISK进展队列GEO回末测序数据整理!G53))</f>
        <v>CD</v>
      </c>
      <c r="S54" s="22" t="str">
        <f>IF(LOWER(TRIM(RISK进展队列GEO回末测序数据整理!H53))="not ibd","Not IBD",TRIM(RISK进展队列GEO回末测序数据整理!H53))</f>
        <v>iCD</v>
      </c>
      <c r="T54" s="22" t="str">
        <f>IF(RISK进展队列GEO回末测序数据整理!D53="女","女性",IF(RISK进展队列GEO回末测序数据整理!D53="男","男性",TRIM(RISK进展队列GEO回末测序数据整理!D53)))</f>
        <v>男性</v>
      </c>
      <c r="U54" s="22">
        <f>RISK进展队列GEO回末测序数据整理!E53</f>
        <v>16.079999999999998</v>
      </c>
      <c r="V54" s="22" t="str">
        <f>RISK进展队列GEO回末测序数据整理!F53</f>
        <v>A1b</v>
      </c>
      <c r="W54" s="22" t="str">
        <f>IF(RISK进展队列GEO回末测序数据整理!I53="Macroscopic inflammation","Macro",IF(RISK进展队列GEO回末测序数据整理!I53="Microscopic inflammation","Micro",TRIM(RISK进展队列GEO回末测序数据整理!I53)))</f>
        <v>Macro</v>
      </c>
      <c r="X54" s="22" t="str">
        <f>IF(RISK进展队列GEO回末测序数据整理!J53=1,"Yes",IF(RISK进展队列GEO回末测序数据整理!J53=0,"No","N/A"))</f>
        <v>No</v>
      </c>
      <c r="Y54" s="22">
        <f>IF(Q54="","",IF(COUNTIF($Q$3:Q54,Q54)=1,1,0))</f>
        <v>1</v>
      </c>
      <c r="Z54" s="22">
        <f>IF(Q54="","",IF(COUNTIFS($Q$3:Q54,Q54,$R$3:R54,R54)=1,1,0))</f>
        <v>1</v>
      </c>
    </row>
    <row r="55" spans="1:26" x14ac:dyDescent="0.4">
      <c r="A55" s="25" t="s">
        <v>770</v>
      </c>
      <c r="B55" s="26">
        <f>SUM(B52:B53)</f>
        <v>55</v>
      </c>
      <c r="C55" s="26">
        <f>SUM(C52:C53)</f>
        <v>163</v>
      </c>
      <c r="D55" s="26">
        <f>SUM(D52:D53)</f>
        <v>218</v>
      </c>
      <c r="E55" s="28">
        <f>SUM(E52:E53)</f>
        <v>1</v>
      </c>
      <c r="F55" s="25" t="s">
        <v>771</v>
      </c>
      <c r="P55" s="22" t="str">
        <f>RISK进展队列GEO回末测序数据整理!A54</f>
        <v>GSM1598460</v>
      </c>
      <c r="Q55" s="22" t="str">
        <f>RISK进展队列GEO回末测序数据整理!B54</f>
        <v>CCFA_Risk_053</v>
      </c>
      <c r="R55" s="22" t="str">
        <f>IF(LOWER(TRIM(RISK进展队列GEO回末测序数据整理!G54))="not ibd","Not IBD",TRIM(RISK进展队列GEO回末测序数据整理!G54))</f>
        <v>CD</v>
      </c>
      <c r="S55" s="22" t="str">
        <f>IF(LOWER(TRIM(RISK进展队列GEO回末测序数据整理!H54))="not ibd","Not IBD",TRIM(RISK进展队列GEO回末测序数据整理!H54))</f>
        <v>cCD</v>
      </c>
      <c r="T55" s="22" t="str">
        <f>IF(RISK进展队列GEO回末测序数据整理!D54="女","女性",IF(RISK进展队列GEO回末测序数据整理!D54="男","男性",TRIM(RISK进展队列GEO回末测序数据整理!D54)))</f>
        <v>女性</v>
      </c>
      <c r="U55" s="22">
        <f>RISK进展队列GEO回末测序数据整理!E54</f>
        <v>9.17</v>
      </c>
      <c r="V55" s="22" t="str">
        <f>RISK进展队列GEO回末测序数据整理!F54</f>
        <v>A1a</v>
      </c>
      <c r="W55" s="22" t="str">
        <f>IF(RISK进展队列GEO回末测序数据整理!I54="Macroscopic inflammation","Macro",IF(RISK进展队列GEO回末测序数据整理!I54="Microscopic inflammation","Micro",TRIM(RISK进展队列GEO回末测序数据整理!I54)))</f>
        <v>Micro</v>
      </c>
      <c r="X55" s="22" t="str">
        <f>IF(RISK进展队列GEO回末测序数据整理!J54=1,"Yes",IF(RISK进展队列GEO回末测序数据整理!J54=0,"No","N/A"))</f>
        <v>No</v>
      </c>
      <c r="Y55" s="22">
        <f>IF(Q55="","",IF(COUNTIF($Q$3:Q55,Q55)=1,1,0))</f>
        <v>1</v>
      </c>
      <c r="Z55" s="22">
        <f>IF(Q55="","",IF(COUNTIFS($Q$3:Q55,Q55,$R$3:R55,R55)=1,1,0))</f>
        <v>1</v>
      </c>
    </row>
    <row r="56" spans="1:26" x14ac:dyDescent="0.4">
      <c r="A56" s="29" t="s">
        <v>757</v>
      </c>
      <c r="B56" s="30">
        <f>SUM(B52:B54)</f>
        <v>55</v>
      </c>
      <c r="C56" s="30">
        <f>SUM(C52:C54)</f>
        <v>163</v>
      </c>
      <c r="D56" s="30">
        <f>SUM(D52:D54)</f>
        <v>218</v>
      </c>
      <c r="E56" s="29"/>
      <c r="F56" s="29"/>
      <c r="P56" s="22" t="str">
        <f>RISK进展队列GEO回末测序数据整理!A55</f>
        <v>GSM1598461</v>
      </c>
      <c r="Q56" s="22" t="str">
        <f>RISK进展队列GEO回末测序数据整理!B55</f>
        <v>CCFA_Risk_054</v>
      </c>
      <c r="R56" s="22" t="str">
        <f>IF(LOWER(TRIM(RISK进展队列GEO回末测序数据整理!G55))="not ibd","Not IBD",TRIM(RISK进展队列GEO回末测序数据整理!G55))</f>
        <v>Not IBD</v>
      </c>
      <c r="S56" s="22" t="str">
        <f>IF(LOWER(TRIM(RISK进展队列GEO回末测序数据整理!H55))="not ibd","Not IBD",TRIM(RISK进展队列GEO回末测序数据整理!H55))</f>
        <v>Not IBD</v>
      </c>
      <c r="T56" s="22" t="str">
        <f>IF(RISK进展队列GEO回末测序数据整理!D55="女","女性",IF(RISK进展队列GEO回末测序数据整理!D55="男","男性",TRIM(RISK进展队列GEO回末测序数据整理!D55)))</f>
        <v>男性</v>
      </c>
      <c r="U56" s="22">
        <f>RISK进展队列GEO回末测序数据整理!E55</f>
        <v>2.33</v>
      </c>
      <c r="V56" s="22" t="str">
        <f>RISK进展队列GEO回末测序数据整理!F55</f>
        <v>A1a</v>
      </c>
      <c r="W56" s="22" t="str">
        <f>IF(RISK进展队列GEO回末测序数据整理!I55="Macroscopic inflammation","Macro",IF(RISK进展队列GEO回末测序数据整理!I55="Microscopic inflammation","Micro",TRIM(RISK进展队列GEO回末测序数据整理!I55)))</f>
        <v>NA</v>
      </c>
      <c r="X56" s="22" t="str">
        <f>IF(RISK进展队列GEO回末测序数据整理!J55=1,"Yes",IF(RISK进展队列GEO回末测序数据整理!J55=0,"No","N/A"))</f>
        <v>N/A</v>
      </c>
      <c r="Y56" s="22">
        <f>IF(Q56="","",IF(COUNTIF($Q$3:Q56,Q56)=1,1,0))</f>
        <v>1</v>
      </c>
      <c r="Z56" s="22">
        <f>IF(Q56="","",IF(COUNTIFS($Q$3:Q56,Q56,$R$3:R56,R56)=1,1,0))</f>
        <v>1</v>
      </c>
    </row>
    <row r="57" spans="1:26" x14ac:dyDescent="0.4">
      <c r="P57" s="22" t="str">
        <f>RISK进展队列GEO回末测序数据整理!A56</f>
        <v>GSM1598462</v>
      </c>
      <c r="Q57" s="22" t="str">
        <f>RISK进展队列GEO回末测序数据整理!B56</f>
        <v>CCFA_Risk_055</v>
      </c>
      <c r="R57" s="22" t="str">
        <f>IF(LOWER(TRIM(RISK进展队列GEO回末测序数据整理!G56))="not ibd","Not IBD",TRIM(RISK进展队列GEO回末测序数据整理!G56))</f>
        <v>Not IBD</v>
      </c>
      <c r="S57" s="22" t="str">
        <f>IF(LOWER(TRIM(RISK进展队列GEO回末测序数据整理!H56))="not ibd","Not IBD",TRIM(RISK进展队列GEO回末测序数据整理!H56))</f>
        <v>Not IBD</v>
      </c>
      <c r="T57" s="22" t="str">
        <f>IF(RISK进展队列GEO回末测序数据整理!D56="女","女性",IF(RISK进展队列GEO回末测序数据整理!D56="男","男性",TRIM(RISK进展队列GEO回末测序数据整理!D56)))</f>
        <v>男性</v>
      </c>
      <c r="U57" s="22">
        <f>RISK进展队列GEO回末测序数据整理!E56</f>
        <v>11.42</v>
      </c>
      <c r="V57" s="22" t="str">
        <f>RISK进展队列GEO回末测序数据整理!F56</f>
        <v>A1b</v>
      </c>
      <c r="W57" s="22" t="str">
        <f>IF(RISK进展队列GEO回末测序数据整理!I56="Macroscopic inflammation","Macro",IF(RISK进展队列GEO回末测序数据整理!I56="Microscopic inflammation","Micro",TRIM(RISK进展队列GEO回末测序数据整理!I56)))</f>
        <v>NA</v>
      </c>
      <c r="X57" s="22" t="str">
        <f>IF(RISK进展队列GEO回末测序数据整理!J56=1,"Yes",IF(RISK进展队列GEO回末测序数据整理!J56=0,"No","N/A"))</f>
        <v>N/A</v>
      </c>
      <c r="Y57" s="22">
        <f>IF(Q57="","",IF(COUNTIF($Q$3:Q57,Q57)=1,1,0))</f>
        <v>1</v>
      </c>
      <c r="Z57" s="22">
        <f>IF(Q57="","",IF(COUNTIFS($Q$3:Q57,Q57,$R$3:R57,R57)=1,1,0))</f>
        <v>1</v>
      </c>
    </row>
    <row r="58" spans="1:26" ht="21" customHeight="1" x14ac:dyDescent="0.4">
      <c r="A58" s="23" t="s">
        <v>772</v>
      </c>
      <c r="B58" s="23"/>
      <c r="C58" s="23"/>
      <c r="D58" s="23"/>
      <c r="E58" s="23"/>
      <c r="F58" s="23"/>
      <c r="G58" s="23"/>
      <c r="H58" s="23"/>
      <c r="I58" s="23"/>
      <c r="P58" s="22" t="str">
        <f>RISK进展队列GEO回末测序数据整理!A57</f>
        <v>GSM1598463</v>
      </c>
      <c r="Q58" s="22" t="str">
        <f>RISK进展队列GEO回末测序数据整理!B57</f>
        <v>CCFA_Risk_056</v>
      </c>
      <c r="R58" s="22" t="str">
        <f>IF(LOWER(TRIM(RISK进展队列GEO回末测序数据整理!G57))="not ibd","Not IBD",TRIM(RISK进展队列GEO回末测序数据整理!G57))</f>
        <v>CD</v>
      </c>
      <c r="S58" s="22" t="str">
        <f>IF(LOWER(TRIM(RISK进展队列GEO回末测序数据整理!H57))="not ibd","Not IBD",TRIM(RISK进展队列GEO回末测序数据整理!H57))</f>
        <v>iCD</v>
      </c>
      <c r="T58" s="22" t="str">
        <f>IF(RISK进展队列GEO回末测序数据整理!D57="女","女性",IF(RISK进展队列GEO回末测序数据整理!D57="男","男性",TRIM(RISK进展队列GEO回末测序数据整理!D57)))</f>
        <v>女性</v>
      </c>
      <c r="U58" s="22">
        <f>RISK进展队列GEO回末测序数据整理!E57</f>
        <v>13.25</v>
      </c>
      <c r="V58" s="22" t="str">
        <f>RISK进展队列GEO回末测序数据整理!F57</f>
        <v>A1b</v>
      </c>
      <c r="W58" s="22" t="str">
        <f>IF(RISK进展队列GEO回末测序数据整理!I57="Macroscopic inflammation","Macro",IF(RISK进展队列GEO回末测序数据整理!I57="Microscopic inflammation","Micro",TRIM(RISK进展队列GEO回末测序数据整理!I57)))</f>
        <v>Macro</v>
      </c>
      <c r="X58" s="22" t="str">
        <f>IF(RISK进展队列GEO回末测序数据整理!J57=1,"Yes",IF(RISK进展队列GEO回末测序数据整理!J57=0,"No","N/A"))</f>
        <v>No</v>
      </c>
      <c r="Y58" s="22">
        <f>IF(Q58="","",IF(COUNTIF($Q$3:Q58,Q58)=1,1,0))</f>
        <v>1</v>
      </c>
      <c r="Z58" s="22">
        <f>IF(Q58="","",IF(COUNTIFS($Q$3:Q58,Q58,$R$3:R58,R58)=1,1,0))</f>
        <v>1</v>
      </c>
    </row>
    <row r="59" spans="1:26" ht="48" customHeight="1" x14ac:dyDescent="0.4">
      <c r="A59" s="38" t="s">
        <v>773</v>
      </c>
      <c r="B59" s="33"/>
      <c r="C59" s="33"/>
      <c r="D59" s="33"/>
      <c r="E59" s="33"/>
      <c r="F59" s="33"/>
      <c r="G59" s="33"/>
      <c r="H59" s="33"/>
      <c r="I59" s="33"/>
      <c r="P59" s="22" t="str">
        <f>RISK进展队列GEO回末测序数据整理!A58</f>
        <v>GSM1598464</v>
      </c>
      <c r="Q59" s="22" t="str">
        <f>RISK进展队列GEO回末测序数据整理!B58</f>
        <v>CCFA_Risk_057</v>
      </c>
      <c r="R59" s="22" t="str">
        <f>IF(LOWER(TRIM(RISK进展队列GEO回末测序数据整理!G58))="not ibd","Not IBD",TRIM(RISK进展队列GEO回末测序数据整理!G58))</f>
        <v>CD</v>
      </c>
      <c r="S59" s="22" t="str">
        <f>IF(LOWER(TRIM(RISK进展队列GEO回末测序数据整理!H58))="not ibd","Not IBD",TRIM(RISK进展队列GEO回末测序数据整理!H58))</f>
        <v>iCD</v>
      </c>
      <c r="T59" s="22" t="str">
        <f>IF(RISK进展队列GEO回末测序数据整理!D58="女","女性",IF(RISK进展队列GEO回末测序数据整理!D58="男","男性",TRIM(RISK进展队列GEO回末测序数据整理!D58)))</f>
        <v>男性</v>
      </c>
      <c r="U59" s="22">
        <f>RISK进展队列GEO回末测序数据整理!E58</f>
        <v>7.58</v>
      </c>
      <c r="V59" s="22" t="str">
        <f>RISK进展队列GEO回末测序数据整理!F58</f>
        <v>A1a</v>
      </c>
      <c r="W59" s="22" t="str">
        <f>IF(RISK进展队列GEO回末测序数据整理!I58="Macroscopic inflammation","Macro",IF(RISK进展队列GEO回末测序数据整理!I58="Microscopic inflammation","Micro",TRIM(RISK进展队列GEO回末测序数据整理!I58)))</f>
        <v>Macro</v>
      </c>
      <c r="X59" s="22" t="str">
        <f>IF(RISK进展队列GEO回末测序数据整理!J58=1,"Yes",IF(RISK进展队列GEO回末测序数据整理!J58=0,"No","N/A"))</f>
        <v>No</v>
      </c>
      <c r="Y59" s="22">
        <f>IF(Q59="","",IF(COUNTIF($Q$3:Q59,Q59)=1,1,0))</f>
        <v>1</v>
      </c>
      <c r="Z59" s="22">
        <f>IF(Q59="","",IF(COUNTIFS($Q$3:Q59,Q59,$R$3:R59,R59)=1,1,0))</f>
        <v>1</v>
      </c>
    </row>
    <row r="60" spans="1:26" x14ac:dyDescent="0.4">
      <c r="P60" s="22" t="str">
        <f>RISK进展队列GEO回末测序数据整理!A59</f>
        <v>GSM1598465</v>
      </c>
      <c r="Q60" s="22" t="str">
        <f>RISK进展队列GEO回末测序数据整理!B59</f>
        <v>CCFA_Risk_058</v>
      </c>
      <c r="R60" s="22" t="str">
        <f>IF(LOWER(TRIM(RISK进展队列GEO回末测序数据整理!G59))="not ibd","Not IBD",TRIM(RISK进展队列GEO回末测序数据整理!G59))</f>
        <v>CD</v>
      </c>
      <c r="S60" s="22" t="str">
        <f>IF(LOWER(TRIM(RISK进展队列GEO回末测序数据整理!H59))="not ibd","Not IBD",TRIM(RISK进展队列GEO回末测序数据整理!H59))</f>
        <v>iCD</v>
      </c>
      <c r="T60" s="22" t="str">
        <f>IF(RISK进展队列GEO回末测序数据整理!D59="女","女性",IF(RISK进展队列GEO回末测序数据整理!D59="男","男性",TRIM(RISK进展队列GEO回末测序数据整理!D59)))</f>
        <v>男性</v>
      </c>
      <c r="U60" s="22">
        <f>RISK进展队列GEO回末测序数据整理!E59</f>
        <v>16.170000000000002</v>
      </c>
      <c r="V60" s="22" t="str">
        <f>RISK进展队列GEO回末测序数据整理!F59</f>
        <v>A1b</v>
      </c>
      <c r="W60" s="22" t="str">
        <f>IF(RISK进展队列GEO回末测序数据整理!I59="Macroscopic inflammation","Macro",IF(RISK进展队列GEO回末测序数据整理!I59="Microscopic inflammation","Micro",TRIM(RISK进展队列GEO回末测序数据整理!I59)))</f>
        <v>Macro</v>
      </c>
      <c r="X60" s="22" t="str">
        <f>IF(RISK进展队列GEO回末测序数据整理!J59=1,"Yes",IF(RISK进展队列GEO回末测序数据整理!J59=0,"No","N/A"))</f>
        <v>No</v>
      </c>
      <c r="Y60" s="22">
        <f>IF(Q60="","",IF(COUNTIF($Q$3:Q60,Q60)=1,1,0))</f>
        <v>1</v>
      </c>
      <c r="Z60" s="22">
        <f>IF(Q60="","",IF(COUNTIFS($Q$3:Q60,Q60,$R$3:R60,R60)=1,1,0))</f>
        <v>1</v>
      </c>
    </row>
    <row r="61" spans="1:26" x14ac:dyDescent="0.4">
      <c r="P61" s="22" t="str">
        <f>RISK进展队列GEO回末测序数据整理!A60</f>
        <v>GSM1598466</v>
      </c>
      <c r="Q61" s="22" t="str">
        <f>RISK进展队列GEO回末测序数据整理!B60</f>
        <v>CCFA_Risk_059</v>
      </c>
      <c r="R61" s="22" t="str">
        <f>IF(LOWER(TRIM(RISK进展队列GEO回末测序数据整理!G60))="not ibd","Not IBD",TRIM(RISK进展队列GEO回末测序数据整理!G60))</f>
        <v>CD</v>
      </c>
      <c r="S61" s="22" t="str">
        <f>IF(LOWER(TRIM(RISK进展队列GEO回末测序数据整理!H60))="not ibd","Not IBD",TRIM(RISK进展队列GEO回末测序数据整理!H60))</f>
        <v>iCD</v>
      </c>
      <c r="T61" s="22" t="str">
        <f>IF(RISK进展队列GEO回末测序数据整理!D60="女","女性",IF(RISK进展队列GEO回末测序数据整理!D60="男","男性",TRIM(RISK进展队列GEO回末测序数据整理!D60)))</f>
        <v>男性</v>
      </c>
      <c r="U61" s="22">
        <f>RISK进展队列GEO回末测序数据整理!E60</f>
        <v>9.42</v>
      </c>
      <c r="V61" s="22" t="str">
        <f>RISK进展队列GEO回末测序数据整理!F60</f>
        <v>A1a</v>
      </c>
      <c r="W61" s="22" t="str">
        <f>IF(RISK进展队列GEO回末测序数据整理!I60="Macroscopic inflammation","Macro",IF(RISK进展队列GEO回末测序数据整理!I60="Microscopic inflammation","Micro",TRIM(RISK进展队列GEO回末测序数据整理!I60)))</f>
        <v>Macro</v>
      </c>
      <c r="X61" s="22" t="str">
        <f>IF(RISK进展队列GEO回末测序数据整理!J60=1,"Yes",IF(RISK进展队列GEO回末测序数据整理!J60=0,"No","N/A"))</f>
        <v>Yes</v>
      </c>
      <c r="Y61" s="22">
        <f>IF(Q61="","",IF(COUNTIF($Q$3:Q61,Q61)=1,1,0))</f>
        <v>1</v>
      </c>
      <c r="Z61" s="22">
        <f>IF(Q61="","",IF(COUNTIFS($Q$3:Q61,Q61,$R$3:R61,R61)=1,1,0))</f>
        <v>1</v>
      </c>
    </row>
    <row r="62" spans="1:26" x14ac:dyDescent="0.4">
      <c r="P62" s="22" t="str">
        <f>RISK进展队列GEO回末测序数据整理!A61</f>
        <v>GSM1598467</v>
      </c>
      <c r="Q62" s="22" t="str">
        <f>RISK进展队列GEO回末测序数据整理!B61</f>
        <v>CCFA_Risk_060</v>
      </c>
      <c r="R62" s="22" t="str">
        <f>IF(LOWER(TRIM(RISK进展队列GEO回末测序数据整理!G61))="not ibd","Not IBD",TRIM(RISK进展队列GEO回末测序数据整理!G61))</f>
        <v>CD</v>
      </c>
      <c r="S62" s="22" t="str">
        <f>IF(LOWER(TRIM(RISK进展队列GEO回末测序数据整理!H61))="not ibd","Not IBD",TRIM(RISK进展队列GEO回末测序数据整理!H61))</f>
        <v>cCD</v>
      </c>
      <c r="T62" s="22" t="str">
        <f>IF(RISK进展队列GEO回末测序数据整理!D61="女","女性",IF(RISK进展队列GEO回末测序数据整理!D61="男","男性",TRIM(RISK进展队列GEO回末测序数据整理!D61)))</f>
        <v>男性</v>
      </c>
      <c r="U62" s="22">
        <f>RISK进展队列GEO回末测序数据整理!E61</f>
        <v>13.58</v>
      </c>
      <c r="V62" s="22" t="str">
        <f>RISK进展队列GEO回末测序数据整理!F61</f>
        <v>A1b</v>
      </c>
      <c r="W62" s="22" t="str">
        <f>IF(RISK进展队列GEO回末测序数据整理!I61="Macroscopic inflammation","Macro",IF(RISK进展队列GEO回末测序数据整理!I61="Microscopic inflammation","Micro",TRIM(RISK进展队列GEO回末测序数据整理!I61)))</f>
        <v>Micro</v>
      </c>
      <c r="X62" s="22" t="str">
        <f>IF(RISK进展队列GEO回末测序数据整理!J61=1,"Yes",IF(RISK进展队列GEO回末测序数据整理!J61=0,"No","N/A"))</f>
        <v>No</v>
      </c>
      <c r="Y62" s="22">
        <f>IF(Q62="","",IF(COUNTIF($Q$3:Q62,Q62)=1,1,0))</f>
        <v>1</v>
      </c>
      <c r="Z62" s="22">
        <f>IF(Q62="","",IF(COUNTIFS($Q$3:Q62,Q62,$R$3:R62,R62)=1,1,0))</f>
        <v>1</v>
      </c>
    </row>
    <row r="63" spans="1:26" x14ac:dyDescent="0.4">
      <c r="P63" s="22" t="str">
        <f>RISK进展队列GEO回末测序数据整理!A62</f>
        <v>GSM1598468</v>
      </c>
      <c r="Q63" s="22" t="str">
        <f>RISK进展队列GEO回末测序数据整理!B62</f>
        <v>CCFA_Risk_061</v>
      </c>
      <c r="R63" s="22" t="str">
        <f>IF(LOWER(TRIM(RISK进展队列GEO回末测序数据整理!G62))="not ibd","Not IBD",TRIM(RISK进展队列GEO回末测序数据整理!G62))</f>
        <v>CD</v>
      </c>
      <c r="S63" s="22" t="str">
        <f>IF(LOWER(TRIM(RISK进展队列GEO回末测序数据整理!H62))="not ibd","Not IBD",TRIM(RISK进展队列GEO回末测序数据整理!H62))</f>
        <v>iCD</v>
      </c>
      <c r="T63" s="22" t="str">
        <f>IF(RISK进展队列GEO回末测序数据整理!D62="女","女性",IF(RISK进展队列GEO回末测序数据整理!D62="男","男性",TRIM(RISK进展队列GEO回末测序数据整理!D62)))</f>
        <v>男性</v>
      </c>
      <c r="U63" s="22">
        <f>RISK进展队列GEO回末测序数据整理!E62</f>
        <v>10.42</v>
      </c>
      <c r="V63" s="22" t="str">
        <f>RISK进展队列GEO回末测序数据整理!F62</f>
        <v>A1b</v>
      </c>
      <c r="W63" s="22" t="str">
        <f>IF(RISK进展队列GEO回末测序数据整理!I62="Macroscopic inflammation","Macro",IF(RISK进展队列GEO回末测序数据整理!I62="Microscopic inflammation","Micro",TRIM(RISK进展队列GEO回末测序数据整理!I62)))</f>
        <v>Macro</v>
      </c>
      <c r="X63" s="22" t="str">
        <f>IF(RISK进展队列GEO回末测序数据整理!J62=1,"Yes",IF(RISK进展队列GEO回末测序数据整理!J62=0,"No","N/A"))</f>
        <v>No</v>
      </c>
      <c r="Y63" s="22">
        <f>IF(Q63="","",IF(COUNTIF($Q$3:Q63,Q63)=1,1,0))</f>
        <v>1</v>
      </c>
      <c r="Z63" s="22">
        <f>IF(Q63="","",IF(COUNTIFS($Q$3:Q63,Q63,$R$3:R63,R63)=1,1,0))</f>
        <v>1</v>
      </c>
    </row>
    <row r="64" spans="1:26" x14ac:dyDescent="0.4">
      <c r="P64" s="22" t="str">
        <f>RISK进展队列GEO回末测序数据整理!A63</f>
        <v>GSM1598469</v>
      </c>
      <c r="Q64" s="22" t="str">
        <f>RISK进展队列GEO回末测序数据整理!B63</f>
        <v>CCFA_Risk_062</v>
      </c>
      <c r="R64" s="22" t="str">
        <f>IF(LOWER(TRIM(RISK进展队列GEO回末测序数据整理!G63))="not ibd","Not IBD",TRIM(RISK进展队列GEO回末测序数据整理!G63))</f>
        <v>CD</v>
      </c>
      <c r="S64" s="22" t="str">
        <f>IF(LOWER(TRIM(RISK进展队列GEO回末测序数据整理!H63))="not ibd","Not IBD",TRIM(RISK进展队列GEO回末测序数据整理!H63))</f>
        <v>iCD</v>
      </c>
      <c r="T64" s="22" t="str">
        <f>IF(RISK进展队列GEO回末测序数据整理!D63="女","女性",IF(RISK进展队列GEO回末测序数据整理!D63="男","男性",TRIM(RISK进展队列GEO回末测序数据整理!D63)))</f>
        <v>男性</v>
      </c>
      <c r="U64" s="22">
        <f>RISK进展队列GEO回末测序数据整理!E63</f>
        <v>10.67</v>
      </c>
      <c r="V64" s="22" t="str">
        <f>RISK进展队列GEO回末测序数据整理!F63</f>
        <v>A1b</v>
      </c>
      <c r="W64" s="22" t="str">
        <f>IF(RISK进展队列GEO回末测序数据整理!I63="Macroscopic inflammation","Macro",IF(RISK进展队列GEO回末测序数据整理!I63="Microscopic inflammation","Micro",TRIM(RISK进展队列GEO回末测序数据整理!I63)))</f>
        <v>Macro</v>
      </c>
      <c r="X64" s="22" t="str">
        <f>IF(RISK进展队列GEO回末测序数据整理!J63=1,"Yes",IF(RISK进展队列GEO回末测序数据整理!J63=0,"No","N/A"))</f>
        <v>Yes</v>
      </c>
      <c r="Y64" s="22">
        <f>IF(Q64="","",IF(COUNTIF($Q$3:Q64,Q64)=1,1,0))</f>
        <v>1</v>
      </c>
      <c r="Z64" s="22">
        <f>IF(Q64="","",IF(COUNTIFS($Q$3:Q64,Q64,$R$3:R64,R64)=1,1,0))</f>
        <v>1</v>
      </c>
    </row>
    <row r="65" spans="16:26" x14ac:dyDescent="0.4">
      <c r="P65" s="22" t="str">
        <f>RISK进展队列GEO回末测序数据整理!A64</f>
        <v>GSM1598470</v>
      </c>
      <c r="Q65" s="22" t="str">
        <f>RISK进展队列GEO回末测序数据整理!B64</f>
        <v>CCFA_Risk_063</v>
      </c>
      <c r="R65" s="22" t="str">
        <f>IF(LOWER(TRIM(RISK进展队列GEO回末测序数据整理!G64))="not ibd","Not IBD",TRIM(RISK进展队列GEO回末测序数据整理!G64))</f>
        <v>CD</v>
      </c>
      <c r="S65" s="22" t="str">
        <f>IF(LOWER(TRIM(RISK进展队列GEO回末测序数据整理!H64))="not ibd","Not IBD",TRIM(RISK进展队列GEO回末测序数据整理!H64))</f>
        <v>iCD</v>
      </c>
      <c r="T65" s="22" t="str">
        <f>IF(RISK进展队列GEO回末测序数据整理!D64="女","女性",IF(RISK进展队列GEO回末测序数据整理!D64="男","男性",TRIM(RISK进展队列GEO回末测序数据整理!D64)))</f>
        <v>女性</v>
      </c>
      <c r="U65" s="22">
        <f>RISK进展队列GEO回末测序数据整理!E64</f>
        <v>8.5</v>
      </c>
      <c r="V65" s="22" t="str">
        <f>RISK进展队列GEO回末测序数据整理!F64</f>
        <v>A1a</v>
      </c>
      <c r="W65" s="22" t="str">
        <f>IF(RISK进展队列GEO回末测序数据整理!I64="Macroscopic inflammation","Macro",IF(RISK进展队列GEO回末测序数据整理!I64="Microscopic inflammation","Micro",TRIM(RISK进展队列GEO回末测序数据整理!I64)))</f>
        <v>Macro</v>
      </c>
      <c r="X65" s="22" t="str">
        <f>IF(RISK进展队列GEO回末测序数据整理!J64=1,"Yes",IF(RISK进展队列GEO回末测序数据整理!J64=0,"No","N/A"))</f>
        <v>Yes</v>
      </c>
      <c r="Y65" s="22">
        <f>IF(Q65="","",IF(COUNTIF($Q$3:Q65,Q65)=1,1,0))</f>
        <v>1</v>
      </c>
      <c r="Z65" s="22">
        <f>IF(Q65="","",IF(COUNTIFS($Q$3:Q65,Q65,$R$3:R65,R65)=1,1,0))</f>
        <v>1</v>
      </c>
    </row>
    <row r="66" spans="16:26" x14ac:dyDescent="0.4">
      <c r="P66" s="22" t="str">
        <f>RISK进展队列GEO回末测序数据整理!A65</f>
        <v>GSM1598471</v>
      </c>
      <c r="Q66" s="22" t="str">
        <f>RISK进展队列GEO回末测序数据整理!B65</f>
        <v>CCFA_Risk_064</v>
      </c>
      <c r="R66" s="22" t="str">
        <f>IF(LOWER(TRIM(RISK进展队列GEO回末测序数据整理!G65))="not ibd","Not IBD",TRIM(RISK进展队列GEO回末测序数据整理!G65))</f>
        <v>Not IBD</v>
      </c>
      <c r="S66" s="22" t="str">
        <f>IF(LOWER(TRIM(RISK进展队列GEO回末测序数据整理!H65))="not ibd","Not IBD",TRIM(RISK进展队列GEO回末测序数据整理!H65))</f>
        <v>Not IBD</v>
      </c>
      <c r="T66" s="22" t="str">
        <f>IF(RISK进展队列GEO回末测序数据整理!D65="女","女性",IF(RISK进展队列GEO回末测序数据整理!D65="男","男性",TRIM(RISK进展队列GEO回末测序数据整理!D65)))</f>
        <v>男性</v>
      </c>
      <c r="U66" s="22">
        <f>RISK进展队列GEO回末测序数据整理!E65</f>
        <v>14.25</v>
      </c>
      <c r="V66" s="22" t="str">
        <f>RISK进展队列GEO回末测序数据整理!F65</f>
        <v>A1b</v>
      </c>
      <c r="W66" s="22" t="str">
        <f>IF(RISK进展队列GEO回末测序数据整理!I65="Macroscopic inflammation","Macro",IF(RISK进展队列GEO回末测序数据整理!I65="Microscopic inflammation","Micro",TRIM(RISK进展队列GEO回末测序数据整理!I65)))</f>
        <v>NA</v>
      </c>
      <c r="X66" s="22" t="str">
        <f>IF(RISK进展队列GEO回末测序数据整理!J65=1,"Yes",IF(RISK进展队列GEO回末测序数据整理!J65=0,"No","N/A"))</f>
        <v>N/A</v>
      </c>
      <c r="Y66" s="22">
        <f>IF(Q66="","",IF(COUNTIF($Q$3:Q66,Q66)=1,1,0))</f>
        <v>1</v>
      </c>
      <c r="Z66" s="22">
        <f>IF(Q66="","",IF(COUNTIFS($Q$3:Q66,Q66,$R$3:R66,R66)=1,1,0))</f>
        <v>1</v>
      </c>
    </row>
    <row r="67" spans="16:26" x14ac:dyDescent="0.4">
      <c r="P67" s="22" t="str">
        <f>RISK进展队列GEO回末测序数据整理!A66</f>
        <v>GSM1598472</v>
      </c>
      <c r="Q67" s="22" t="str">
        <f>RISK进展队列GEO回末测序数据整理!B66</f>
        <v>CCFA_Risk_065</v>
      </c>
      <c r="R67" s="22" t="str">
        <f>IF(LOWER(TRIM(RISK进展队列GEO回末测序数据整理!G66))="not ibd","Not IBD",TRIM(RISK进展队列GEO回末测序数据整理!G66))</f>
        <v>Not IBD</v>
      </c>
      <c r="S67" s="22" t="str">
        <f>IF(LOWER(TRIM(RISK进展队列GEO回末测序数据整理!H66))="not ibd","Not IBD",TRIM(RISK进展队列GEO回末测序数据整理!H66))</f>
        <v>Not IBD</v>
      </c>
      <c r="T67" s="22" t="str">
        <f>IF(RISK进展队列GEO回末测序数据整理!D66="女","女性",IF(RISK进展队列GEO回末测序数据整理!D66="男","男性",TRIM(RISK进展队列GEO回末测序数据整理!D66)))</f>
        <v>女性</v>
      </c>
      <c r="U67" s="22">
        <f>RISK进展队列GEO回末测序数据整理!E66</f>
        <v>12.33</v>
      </c>
      <c r="V67" s="22" t="str">
        <f>RISK进展队列GEO回末测序数据整理!F66</f>
        <v>A1b</v>
      </c>
      <c r="W67" s="22" t="str">
        <f>IF(RISK进展队列GEO回末测序数据整理!I66="Macroscopic inflammation","Macro",IF(RISK进展队列GEO回末测序数据整理!I66="Microscopic inflammation","Micro",TRIM(RISK进展队列GEO回末测序数据整理!I66)))</f>
        <v>NA</v>
      </c>
      <c r="X67" s="22" t="str">
        <f>IF(RISK进展队列GEO回末测序数据整理!J66=1,"Yes",IF(RISK进展队列GEO回末测序数据整理!J66=0,"No","N/A"))</f>
        <v>N/A</v>
      </c>
      <c r="Y67" s="22">
        <f>IF(Q67="","",IF(COUNTIF($Q$3:Q67,Q67)=1,1,0))</f>
        <v>1</v>
      </c>
      <c r="Z67" s="22">
        <f>IF(Q67="","",IF(COUNTIFS($Q$3:Q67,Q67,$R$3:R67,R67)=1,1,0))</f>
        <v>1</v>
      </c>
    </row>
    <row r="68" spans="16:26" x14ac:dyDescent="0.4">
      <c r="P68" s="22" t="str">
        <f>RISK进展队列GEO回末测序数据整理!A67</f>
        <v>GSM1598473</v>
      </c>
      <c r="Q68" s="22" t="str">
        <f>RISK进展队列GEO回末测序数据整理!B67</f>
        <v>CCFA_Risk_066</v>
      </c>
      <c r="R68" s="22" t="str">
        <f>IF(LOWER(TRIM(RISK进展队列GEO回末测序数据整理!G67))="not ibd","Not IBD",TRIM(RISK进展队列GEO回末测序数据整理!G67))</f>
        <v>CD</v>
      </c>
      <c r="S68" s="22" t="str">
        <f>IF(LOWER(TRIM(RISK进展队列GEO回末测序数据整理!H67))="not ibd","Not IBD",TRIM(RISK进展队列GEO回末测序数据整理!H67))</f>
        <v>iCD</v>
      </c>
      <c r="T68" s="22" t="str">
        <f>IF(RISK进展队列GEO回末测序数据整理!D67="女","女性",IF(RISK进展队列GEO回末测序数据整理!D67="男","男性",TRIM(RISK进展队列GEO回末测序数据整理!D67)))</f>
        <v>男性</v>
      </c>
      <c r="U68" s="22">
        <f>RISK进展队列GEO回末测序数据整理!E67</f>
        <v>8.42</v>
      </c>
      <c r="V68" s="22" t="str">
        <f>RISK进展队列GEO回末测序数据整理!F67</f>
        <v>A1a</v>
      </c>
      <c r="W68" s="22" t="str">
        <f>IF(RISK进展队列GEO回末测序数据整理!I67="Macroscopic inflammation","Macro",IF(RISK进展队列GEO回末测序数据整理!I67="Microscopic inflammation","Micro",TRIM(RISK进展队列GEO回末测序数据整理!I67)))</f>
        <v>Macro</v>
      </c>
      <c r="X68" s="22" t="str">
        <f>IF(RISK进展队列GEO回末测序数据整理!J67=1,"Yes",IF(RISK进展队列GEO回末测序数据整理!J67=0,"No","N/A"))</f>
        <v>No</v>
      </c>
      <c r="Y68" s="22">
        <f>IF(Q68="","",IF(COUNTIF($Q$3:Q68,Q68)=1,1,0))</f>
        <v>1</v>
      </c>
      <c r="Z68" s="22">
        <f>IF(Q68="","",IF(COUNTIFS($Q$3:Q68,Q68,$R$3:R68,R68)=1,1,0))</f>
        <v>1</v>
      </c>
    </row>
    <row r="69" spans="16:26" x14ac:dyDescent="0.4">
      <c r="P69" s="22" t="str">
        <f>RISK进展队列GEO回末测序数据整理!A68</f>
        <v>GSM1598474</v>
      </c>
      <c r="Q69" s="22" t="str">
        <f>RISK进展队列GEO回末测序数据整理!B68</f>
        <v>CCFA_Risk_067</v>
      </c>
      <c r="R69" s="22" t="str">
        <f>IF(LOWER(TRIM(RISK进展队列GEO回末测序数据整理!G68))="not ibd","Not IBD",TRIM(RISK进展队列GEO回末测序数据整理!G68))</f>
        <v>Not IBD</v>
      </c>
      <c r="S69" s="22" t="str">
        <f>IF(LOWER(TRIM(RISK进展队列GEO回末测序数据整理!H68))="not ibd","Not IBD",TRIM(RISK进展队列GEO回末测序数据整理!H68))</f>
        <v>Not IBD</v>
      </c>
      <c r="T69" s="22" t="str">
        <f>IF(RISK进展队列GEO回末测序数据整理!D68="女","女性",IF(RISK进展队列GEO回末测序数据整理!D68="男","男性",TRIM(RISK进展队列GEO回末测序数据整理!D68)))</f>
        <v>男性</v>
      </c>
      <c r="U69" s="22">
        <f>RISK进展队列GEO回末测序数据整理!E68</f>
        <v>12.92</v>
      </c>
      <c r="V69" s="22" t="str">
        <f>RISK进展队列GEO回末测序数据整理!F68</f>
        <v>A1b</v>
      </c>
      <c r="W69" s="22" t="str">
        <f>IF(RISK进展队列GEO回末测序数据整理!I68="Macroscopic inflammation","Macro",IF(RISK进展队列GEO回末测序数据整理!I68="Microscopic inflammation","Micro",TRIM(RISK进展队列GEO回末测序数据整理!I68)))</f>
        <v>NA</v>
      </c>
      <c r="X69" s="22" t="str">
        <f>IF(RISK进展队列GEO回末测序数据整理!J68=1,"Yes",IF(RISK进展队列GEO回末测序数据整理!J68=0,"No","N/A"))</f>
        <v>N/A</v>
      </c>
      <c r="Y69" s="22">
        <f>IF(Q69="","",IF(COUNTIF($Q$3:Q69,Q69)=1,1,0))</f>
        <v>1</v>
      </c>
      <c r="Z69" s="22">
        <f>IF(Q69="","",IF(COUNTIFS($Q$3:Q69,Q69,$R$3:R69,R69)=1,1,0))</f>
        <v>1</v>
      </c>
    </row>
    <row r="70" spans="16:26" x14ac:dyDescent="0.4">
      <c r="P70" s="22" t="str">
        <f>RISK进展队列GEO回末测序数据整理!A69</f>
        <v>GSM1598475</v>
      </c>
      <c r="Q70" s="22" t="str">
        <f>RISK进展队列GEO回末测序数据整理!B69</f>
        <v>CCFA_Risk_068</v>
      </c>
      <c r="R70" s="22" t="str">
        <f>IF(LOWER(TRIM(RISK进展队列GEO回末测序数据整理!G69))="not ibd","Not IBD",TRIM(RISK进展队列GEO回末测序数据整理!G69))</f>
        <v>CD</v>
      </c>
      <c r="S70" s="22" t="str">
        <f>IF(LOWER(TRIM(RISK进展队列GEO回末测序数据整理!H69))="not ibd","Not IBD",TRIM(RISK进展队列GEO回末测序数据整理!H69))</f>
        <v>iCD</v>
      </c>
      <c r="T70" s="22" t="str">
        <f>IF(RISK进展队列GEO回末测序数据整理!D69="女","女性",IF(RISK进展队列GEO回末测序数据整理!D69="男","男性",TRIM(RISK进展队列GEO回末测序数据整理!D69)))</f>
        <v>男性</v>
      </c>
      <c r="U70" s="22">
        <f>RISK进展队列GEO回末测序数据整理!E69</f>
        <v>10.33</v>
      </c>
      <c r="V70" s="22" t="str">
        <f>RISK进展队列GEO回末测序数据整理!F69</f>
        <v>A1b</v>
      </c>
      <c r="W70" s="22" t="str">
        <f>IF(RISK进展队列GEO回末测序数据整理!I69="Macroscopic inflammation","Macro",IF(RISK进展队列GEO回末测序数据整理!I69="Microscopic inflammation","Micro",TRIM(RISK进展队列GEO回末测序数据整理!I69)))</f>
        <v>Macro</v>
      </c>
      <c r="X70" s="22" t="str">
        <f>IF(RISK进展队列GEO回末测序数据整理!J69=1,"Yes",IF(RISK进展队列GEO回末测序数据整理!J69=0,"No","N/A"))</f>
        <v>No</v>
      </c>
      <c r="Y70" s="22">
        <f>IF(Q70="","",IF(COUNTIF($Q$3:Q70,Q70)=1,1,0))</f>
        <v>1</v>
      </c>
      <c r="Z70" s="22">
        <f>IF(Q70="","",IF(COUNTIFS($Q$3:Q70,Q70,$R$3:R70,R70)=1,1,0))</f>
        <v>1</v>
      </c>
    </row>
    <row r="71" spans="16:26" x14ac:dyDescent="0.4">
      <c r="P71" s="22" t="str">
        <f>RISK进展队列GEO回末测序数据整理!A70</f>
        <v>GSM1598476</v>
      </c>
      <c r="Q71" s="22" t="str">
        <f>RISK进展队列GEO回末测序数据整理!B70</f>
        <v>CCFA_Risk_069</v>
      </c>
      <c r="R71" s="22" t="str">
        <f>IF(LOWER(TRIM(RISK进展队列GEO回末测序数据整理!G70))="not ibd","Not IBD",TRIM(RISK进展队列GEO回末测序数据整理!G70))</f>
        <v>CD</v>
      </c>
      <c r="S71" s="22" t="str">
        <f>IF(LOWER(TRIM(RISK进展队列GEO回末测序数据整理!H70))="not ibd","Not IBD",TRIM(RISK进展队列GEO回末测序数据整理!H70))</f>
        <v>iCD</v>
      </c>
      <c r="T71" s="22" t="str">
        <f>IF(RISK进展队列GEO回末测序数据整理!D70="女","女性",IF(RISK进展队列GEO回末测序数据整理!D70="男","男性",TRIM(RISK进展队列GEO回末测序数据整理!D70)))</f>
        <v>女性</v>
      </c>
      <c r="U71" s="22">
        <f>RISK进展队列GEO回末测序数据整理!E70</f>
        <v>12.08</v>
      </c>
      <c r="V71" s="22" t="str">
        <f>RISK进展队列GEO回末测序数据整理!F70</f>
        <v>A1b</v>
      </c>
      <c r="W71" s="22" t="str">
        <f>IF(RISK进展队列GEO回末测序数据整理!I70="Macroscopic inflammation","Macro",IF(RISK进展队列GEO回末测序数据整理!I70="Microscopic inflammation","Micro",TRIM(RISK进展队列GEO回末测序数据整理!I70)))</f>
        <v>Macro</v>
      </c>
      <c r="X71" s="22" t="str">
        <f>IF(RISK进展队列GEO回末测序数据整理!J70=1,"Yes",IF(RISK进展队列GEO回末测序数据整理!J70=0,"No","N/A"))</f>
        <v>Yes</v>
      </c>
      <c r="Y71" s="22">
        <f>IF(Q71="","",IF(COUNTIF($Q$3:Q71,Q71)=1,1,0))</f>
        <v>1</v>
      </c>
      <c r="Z71" s="22">
        <f>IF(Q71="","",IF(COUNTIFS($Q$3:Q71,Q71,$R$3:R71,R71)=1,1,0))</f>
        <v>1</v>
      </c>
    </row>
    <row r="72" spans="16:26" x14ac:dyDescent="0.4">
      <c r="P72" s="22" t="str">
        <f>RISK进展队列GEO回末测序数据整理!A71</f>
        <v>GSM1598477</v>
      </c>
      <c r="Q72" s="22" t="str">
        <f>RISK进展队列GEO回末测序数据整理!B71</f>
        <v>CCFA_Risk_070</v>
      </c>
      <c r="R72" s="22" t="str">
        <f>IF(LOWER(TRIM(RISK进展队列GEO回末测序数据整理!G71))="not ibd","Not IBD",TRIM(RISK进展队列GEO回末测序数据整理!G71))</f>
        <v>CD</v>
      </c>
      <c r="S72" s="22" t="str">
        <f>IF(LOWER(TRIM(RISK进展队列GEO回末测序数据整理!H71))="not ibd","Not IBD",TRIM(RISK进展队列GEO回末测序数据整理!H71))</f>
        <v>iCD</v>
      </c>
      <c r="T72" s="22" t="str">
        <f>IF(RISK进展队列GEO回末测序数据整理!D71="女","女性",IF(RISK进展队列GEO回末测序数据整理!D71="男","男性",TRIM(RISK进展队列GEO回末测序数据整理!D71)))</f>
        <v>女性</v>
      </c>
      <c r="U72" s="22">
        <f>RISK进展队列GEO回末测序数据整理!E71</f>
        <v>8.58</v>
      </c>
      <c r="V72" s="22" t="str">
        <f>RISK进展队列GEO回末测序数据整理!F71</f>
        <v>A1a</v>
      </c>
      <c r="W72" s="22" t="str">
        <f>IF(RISK进展队列GEO回末测序数据整理!I71="Macroscopic inflammation","Macro",IF(RISK进展队列GEO回末测序数据整理!I71="Microscopic inflammation","Micro",TRIM(RISK进展队列GEO回末测序数据整理!I71)))</f>
        <v>Macro</v>
      </c>
      <c r="X72" s="22" t="str">
        <f>IF(RISK进展队列GEO回末测序数据整理!J71=1,"Yes",IF(RISK进展队列GEO回末测序数据整理!J71=0,"No","N/A"))</f>
        <v>Yes</v>
      </c>
      <c r="Y72" s="22">
        <f>IF(Q72="","",IF(COUNTIF($Q$3:Q72,Q72)=1,1,0))</f>
        <v>1</v>
      </c>
      <c r="Z72" s="22">
        <f>IF(Q72="","",IF(COUNTIFS($Q$3:Q72,Q72,$R$3:R72,R72)=1,1,0))</f>
        <v>1</v>
      </c>
    </row>
    <row r="73" spans="16:26" x14ac:dyDescent="0.4">
      <c r="P73" s="22" t="str">
        <f>RISK进展队列GEO回末测序数据整理!A72</f>
        <v>GSM1598478</v>
      </c>
      <c r="Q73" s="22" t="str">
        <f>RISK进展队列GEO回末测序数据整理!B72</f>
        <v>CCFA_Risk_071</v>
      </c>
      <c r="R73" s="22" t="str">
        <f>IF(LOWER(TRIM(RISK进展队列GEO回末测序数据整理!G72))="not ibd","Not IBD",TRIM(RISK进展队列GEO回末测序数据整理!G72))</f>
        <v>CD</v>
      </c>
      <c r="S73" s="22" t="str">
        <f>IF(LOWER(TRIM(RISK进展队列GEO回末测序数据整理!H72))="not ibd","Not IBD",TRIM(RISK进展队列GEO回末测序数据整理!H72))</f>
        <v>cCD</v>
      </c>
      <c r="T73" s="22" t="str">
        <f>IF(RISK进展队列GEO回末测序数据整理!D72="女","女性",IF(RISK进展队列GEO回末测序数据整理!D72="男","男性",TRIM(RISK进展队列GEO回末测序数据整理!D72)))</f>
        <v>男性</v>
      </c>
      <c r="U73" s="22">
        <f>RISK进展队列GEO回末测序数据整理!E72</f>
        <v>10.67</v>
      </c>
      <c r="V73" s="22" t="str">
        <f>RISK进展队列GEO回末测序数据整理!F72</f>
        <v>A1b</v>
      </c>
      <c r="W73" s="22" t="str">
        <f>IF(RISK进展队列GEO回末测序数据整理!I72="Macroscopic inflammation","Macro",IF(RISK进展队列GEO回末测序数据整理!I72="Microscopic inflammation","Micro",TRIM(RISK进展队列GEO回末测序数据整理!I72)))</f>
        <v>Normal</v>
      </c>
      <c r="X73" s="22" t="str">
        <f>IF(RISK进展队列GEO回末测序数据整理!J72=1,"Yes",IF(RISK进展队列GEO回末测序数据整理!J72=0,"No","N/A"))</f>
        <v>No</v>
      </c>
      <c r="Y73" s="22">
        <f>IF(Q73="","",IF(COUNTIF($Q$3:Q73,Q73)=1,1,0))</f>
        <v>1</v>
      </c>
      <c r="Z73" s="22">
        <f>IF(Q73="","",IF(COUNTIFS($Q$3:Q73,Q73,$R$3:R73,R73)=1,1,0))</f>
        <v>1</v>
      </c>
    </row>
    <row r="74" spans="16:26" x14ac:dyDescent="0.4">
      <c r="P74" s="22" t="str">
        <f>RISK进展队列GEO回末测序数据整理!A73</f>
        <v>GSM1598479</v>
      </c>
      <c r="Q74" s="22" t="str">
        <f>RISK进展队列GEO回末测序数据整理!B73</f>
        <v>CCFA_Risk_072</v>
      </c>
      <c r="R74" s="22" t="str">
        <f>IF(LOWER(TRIM(RISK进展队列GEO回末测序数据整理!G73))="not ibd","Not IBD",TRIM(RISK进展队列GEO回末测序数据整理!G73))</f>
        <v>Not IBD</v>
      </c>
      <c r="S74" s="22" t="str">
        <f>IF(LOWER(TRIM(RISK进展队列GEO回末测序数据整理!H73))="not ibd","Not IBD",TRIM(RISK进展队列GEO回末测序数据整理!H73))</f>
        <v>Not IBD</v>
      </c>
      <c r="T74" s="22" t="str">
        <f>IF(RISK进展队列GEO回末测序数据整理!D73="女","女性",IF(RISK进展队列GEO回末测序数据整理!D73="男","男性",TRIM(RISK进展队列GEO回末测序数据整理!D73)))</f>
        <v>女性</v>
      </c>
      <c r="U74" s="22">
        <f>RISK进展队列GEO回末测序数据整理!E73</f>
        <v>13.08</v>
      </c>
      <c r="V74" s="22" t="str">
        <f>RISK进展队列GEO回末测序数据整理!F73</f>
        <v>A1b</v>
      </c>
      <c r="W74" s="22" t="str">
        <f>IF(RISK进展队列GEO回末测序数据整理!I73="Macroscopic inflammation","Macro",IF(RISK进展队列GEO回末测序数据整理!I73="Microscopic inflammation","Micro",TRIM(RISK进展队列GEO回末测序数据整理!I73)))</f>
        <v>NA</v>
      </c>
      <c r="X74" s="22" t="str">
        <f>IF(RISK进展队列GEO回末测序数据整理!J73=1,"Yes",IF(RISK进展队列GEO回末测序数据整理!J73=0,"No","N/A"))</f>
        <v>N/A</v>
      </c>
      <c r="Y74" s="22">
        <f>IF(Q74="","",IF(COUNTIF($Q$3:Q74,Q74)=1,1,0))</f>
        <v>1</v>
      </c>
      <c r="Z74" s="22">
        <f>IF(Q74="","",IF(COUNTIFS($Q$3:Q74,Q74,$R$3:R74,R74)=1,1,0))</f>
        <v>1</v>
      </c>
    </row>
    <row r="75" spans="16:26" x14ac:dyDescent="0.4">
      <c r="P75" s="22" t="str">
        <f>RISK进展队列GEO回末测序数据整理!A74</f>
        <v>GSM1598480</v>
      </c>
      <c r="Q75" s="22" t="str">
        <f>RISK进展队列GEO回末测序数据整理!B74</f>
        <v>CCFA_Risk_073</v>
      </c>
      <c r="R75" s="22" t="str">
        <f>IF(LOWER(TRIM(RISK进展队列GEO回末测序数据整理!G74))="not ibd","Not IBD",TRIM(RISK进展队列GEO回末测序数据整理!G74))</f>
        <v>CD</v>
      </c>
      <c r="S75" s="22" t="str">
        <f>IF(LOWER(TRIM(RISK进展队列GEO回末测序数据整理!H74))="not ibd","Not IBD",TRIM(RISK进展队列GEO回末测序数据整理!H74))</f>
        <v>iCD</v>
      </c>
      <c r="T75" s="22" t="str">
        <f>IF(RISK进展队列GEO回末测序数据整理!D74="女","女性",IF(RISK进展队列GEO回末测序数据整理!D74="男","男性",TRIM(RISK进展队列GEO回末测序数据整理!D74)))</f>
        <v>女性</v>
      </c>
      <c r="U75" s="22">
        <f>RISK进展队列GEO回末测序数据整理!E74</f>
        <v>8.58</v>
      </c>
      <c r="V75" s="22" t="str">
        <f>RISK进展队列GEO回末测序数据整理!F74</f>
        <v>A1a</v>
      </c>
      <c r="W75" s="22" t="str">
        <f>IF(RISK进展队列GEO回末测序数据整理!I74="Macroscopic inflammation","Macro",IF(RISK进展队列GEO回末测序数据整理!I74="Microscopic inflammation","Micro",TRIM(RISK进展队列GEO回末测序数据整理!I74)))</f>
        <v>Macro</v>
      </c>
      <c r="X75" s="22" t="str">
        <f>IF(RISK进展队列GEO回末测序数据整理!J74=1,"Yes",IF(RISK进展队列GEO回末测序数据整理!J74=0,"No","N/A"))</f>
        <v>No</v>
      </c>
      <c r="Y75" s="22">
        <f>IF(Q75="","",IF(COUNTIF($Q$3:Q75,Q75)=1,1,0))</f>
        <v>1</v>
      </c>
      <c r="Z75" s="22">
        <f>IF(Q75="","",IF(COUNTIFS($Q$3:Q75,Q75,$R$3:R75,R75)=1,1,0))</f>
        <v>1</v>
      </c>
    </row>
    <row r="76" spans="16:26" x14ac:dyDescent="0.4">
      <c r="P76" s="22" t="str">
        <f>RISK进展队列GEO回末测序数据整理!A75</f>
        <v>GSM1598481</v>
      </c>
      <c r="Q76" s="22" t="str">
        <f>RISK进展队列GEO回末测序数据整理!B75</f>
        <v>CCFA_Risk_074</v>
      </c>
      <c r="R76" s="22" t="str">
        <f>IF(LOWER(TRIM(RISK进展队列GEO回末测序数据整理!G75))="not ibd","Not IBD",TRIM(RISK进展队列GEO回末测序数据整理!G75))</f>
        <v>CD</v>
      </c>
      <c r="S76" s="22" t="str">
        <f>IF(LOWER(TRIM(RISK进展队列GEO回末测序数据整理!H75))="not ibd","Not IBD",TRIM(RISK进展队列GEO回末测序数据整理!H75))</f>
        <v>iCD</v>
      </c>
      <c r="T76" s="22" t="str">
        <f>IF(RISK进展队列GEO回末测序数据整理!D75="女","女性",IF(RISK进展队列GEO回末测序数据整理!D75="男","男性",TRIM(RISK进展队列GEO回末测序数据整理!D75)))</f>
        <v>女性</v>
      </c>
      <c r="U76" s="22">
        <f>RISK进展队列GEO回末测序数据整理!E75</f>
        <v>5.42</v>
      </c>
      <c r="V76" s="22" t="str">
        <f>RISK进展队列GEO回末测序数据整理!F75</f>
        <v>A1a</v>
      </c>
      <c r="W76" s="22" t="str">
        <f>IF(RISK进展队列GEO回末测序数据整理!I75="Macroscopic inflammation","Macro",IF(RISK进展队列GEO回末测序数据整理!I75="Microscopic inflammation","Micro",TRIM(RISK进展队列GEO回末测序数据整理!I75)))</f>
        <v>Macro</v>
      </c>
      <c r="X76" s="22" t="str">
        <f>IF(RISK进展队列GEO回末测序数据整理!J75=1,"Yes",IF(RISK进展队列GEO回末测序数据整理!J75=0,"No","N/A"))</f>
        <v>No</v>
      </c>
      <c r="Y76" s="22">
        <f>IF(Q76="","",IF(COUNTIF($Q$3:Q76,Q76)=1,1,0))</f>
        <v>1</v>
      </c>
      <c r="Z76" s="22">
        <f>IF(Q76="","",IF(COUNTIFS($Q$3:Q76,Q76,$R$3:R76,R76)=1,1,0))</f>
        <v>1</v>
      </c>
    </row>
    <row r="77" spans="16:26" x14ac:dyDescent="0.4">
      <c r="P77" s="22" t="str">
        <f>RISK进展队列GEO回末测序数据整理!A76</f>
        <v>GSM1598482</v>
      </c>
      <c r="Q77" s="22" t="str">
        <f>RISK进展队列GEO回末测序数据整理!B76</f>
        <v>CCFA_Risk_075</v>
      </c>
      <c r="R77" s="22" t="str">
        <f>IF(LOWER(TRIM(RISK进展队列GEO回末测序数据整理!G76))="not ibd","Not IBD",TRIM(RISK进展队列GEO回末测序数据整理!G76))</f>
        <v>CD</v>
      </c>
      <c r="S77" s="22" t="str">
        <f>IF(LOWER(TRIM(RISK进展队列GEO回末测序数据整理!H76))="not ibd","Not IBD",TRIM(RISK进展队列GEO回末测序数据整理!H76))</f>
        <v>iCD</v>
      </c>
      <c r="T77" s="22" t="str">
        <f>IF(RISK进展队列GEO回末测序数据整理!D76="女","女性",IF(RISK进展队列GEO回末测序数据整理!D76="男","男性",TRIM(RISK进展队列GEO回末测序数据整理!D76)))</f>
        <v>男性</v>
      </c>
      <c r="U77" s="22">
        <f>RISK进展队列GEO回末测序数据整理!E76</f>
        <v>16.5</v>
      </c>
      <c r="V77" s="22" t="str">
        <f>RISK进展队列GEO回末测序数据整理!F76</f>
        <v>A1b</v>
      </c>
      <c r="W77" s="22" t="str">
        <f>IF(RISK进展队列GEO回末测序数据整理!I76="Macroscopic inflammation","Macro",IF(RISK进展队列GEO回末测序数据整理!I76="Microscopic inflammation","Micro",TRIM(RISK进展队列GEO回末测序数据整理!I76)))</f>
        <v>Macro</v>
      </c>
      <c r="X77" s="22" t="str">
        <f>IF(RISK进展队列GEO回末测序数据整理!J76=1,"Yes",IF(RISK进展队列GEO回末测序数据整理!J76=0,"No","N/A"))</f>
        <v>Yes</v>
      </c>
      <c r="Y77" s="22">
        <f>IF(Q77="","",IF(COUNTIF($Q$3:Q77,Q77)=1,1,0))</f>
        <v>1</v>
      </c>
      <c r="Z77" s="22">
        <f>IF(Q77="","",IF(COUNTIFS($Q$3:Q77,Q77,$R$3:R77,R77)=1,1,0))</f>
        <v>1</v>
      </c>
    </row>
    <row r="78" spans="16:26" x14ac:dyDescent="0.4">
      <c r="P78" s="22" t="str">
        <f>RISK进展队列GEO回末测序数据整理!A77</f>
        <v>GSM1598483</v>
      </c>
      <c r="Q78" s="22" t="str">
        <f>RISK进展队列GEO回末测序数据整理!B77</f>
        <v>CCFA_Risk_076</v>
      </c>
      <c r="R78" s="22" t="str">
        <f>IF(LOWER(TRIM(RISK进展队列GEO回末测序数据整理!G77))="not ibd","Not IBD",TRIM(RISK进展队列GEO回末测序数据整理!G77))</f>
        <v>Not IBD</v>
      </c>
      <c r="S78" s="22" t="str">
        <f>IF(LOWER(TRIM(RISK进展队列GEO回末测序数据整理!H77))="not ibd","Not IBD",TRIM(RISK进展队列GEO回末测序数据整理!H77))</f>
        <v>Not IBD</v>
      </c>
      <c r="T78" s="22" t="str">
        <f>IF(RISK进展队列GEO回末测序数据整理!D77="女","女性",IF(RISK进展队列GEO回末测序数据整理!D77="男","男性",TRIM(RISK进展队列GEO回末测序数据整理!D77)))</f>
        <v>女性</v>
      </c>
      <c r="U78" s="22">
        <f>RISK进展队列GEO回末测序数据整理!E77</f>
        <v>11</v>
      </c>
      <c r="V78" s="22" t="str">
        <f>RISK进展队列GEO回末测序数据整理!F77</f>
        <v>A1b</v>
      </c>
      <c r="W78" s="22" t="str">
        <f>IF(RISK进展队列GEO回末测序数据整理!I77="Macroscopic inflammation","Macro",IF(RISK进展队列GEO回末测序数据整理!I77="Microscopic inflammation","Micro",TRIM(RISK进展队列GEO回末测序数据整理!I77)))</f>
        <v>NA</v>
      </c>
      <c r="X78" s="22" t="str">
        <f>IF(RISK进展队列GEO回末测序数据整理!J77=1,"Yes",IF(RISK进展队列GEO回末测序数据整理!J77=0,"No","N/A"))</f>
        <v>N/A</v>
      </c>
      <c r="Y78" s="22">
        <f>IF(Q78="","",IF(COUNTIF($Q$3:Q78,Q78)=1,1,0))</f>
        <v>1</v>
      </c>
      <c r="Z78" s="22">
        <f>IF(Q78="","",IF(COUNTIFS($Q$3:Q78,Q78,$R$3:R78,R78)=1,1,0))</f>
        <v>1</v>
      </c>
    </row>
    <row r="79" spans="16:26" x14ac:dyDescent="0.4">
      <c r="P79" s="22" t="str">
        <f>RISK进展队列GEO回末测序数据整理!A78</f>
        <v>GSM1598484</v>
      </c>
      <c r="Q79" s="22" t="str">
        <f>RISK进展队列GEO回末测序数据整理!B78</f>
        <v>CCFA_Risk_077</v>
      </c>
      <c r="R79" s="22" t="str">
        <f>IF(LOWER(TRIM(RISK进展队列GEO回末测序数据整理!G78))="not ibd","Not IBD",TRIM(RISK进展队列GEO回末测序数据整理!G78))</f>
        <v>Not IBD</v>
      </c>
      <c r="S79" s="22" t="str">
        <f>IF(LOWER(TRIM(RISK进展队列GEO回末测序数据整理!H78))="not ibd","Not IBD",TRIM(RISK进展队列GEO回末测序数据整理!H78))</f>
        <v>Not IBD</v>
      </c>
      <c r="T79" s="22" t="str">
        <f>IF(RISK进展队列GEO回末测序数据整理!D78="女","女性",IF(RISK进展队列GEO回末测序数据整理!D78="男","男性",TRIM(RISK进展队列GEO回末测序数据整理!D78)))</f>
        <v>男性</v>
      </c>
      <c r="U79" s="22">
        <f>RISK进展队列GEO回末测序数据整理!E78</f>
        <v>7.25</v>
      </c>
      <c r="V79" s="22" t="str">
        <f>RISK进展队列GEO回末测序数据整理!F78</f>
        <v>A1a</v>
      </c>
      <c r="W79" s="22" t="str">
        <f>IF(RISK进展队列GEO回末测序数据整理!I78="Macroscopic inflammation","Macro",IF(RISK进展队列GEO回末测序数据整理!I78="Microscopic inflammation","Micro",TRIM(RISK进展队列GEO回末测序数据整理!I78)))</f>
        <v>NA</v>
      </c>
      <c r="X79" s="22" t="str">
        <f>IF(RISK进展队列GEO回末测序数据整理!J78=1,"Yes",IF(RISK进展队列GEO回末测序数据整理!J78=0,"No","N/A"))</f>
        <v>N/A</v>
      </c>
      <c r="Y79" s="22">
        <f>IF(Q79="","",IF(COUNTIF($Q$3:Q79,Q79)=1,1,0))</f>
        <v>1</v>
      </c>
      <c r="Z79" s="22">
        <f>IF(Q79="","",IF(COUNTIFS($Q$3:Q79,Q79,$R$3:R79,R79)=1,1,0))</f>
        <v>1</v>
      </c>
    </row>
    <row r="80" spans="16:26" x14ac:dyDescent="0.4">
      <c r="P80" s="22" t="str">
        <f>RISK进展队列GEO回末测序数据整理!A79</f>
        <v>GSM1598485</v>
      </c>
      <c r="Q80" s="22" t="str">
        <f>RISK进展队列GEO回末测序数据整理!B79</f>
        <v>CCFA_Risk_078</v>
      </c>
      <c r="R80" s="22" t="str">
        <f>IF(LOWER(TRIM(RISK进展队列GEO回末测序数据整理!G79))="not ibd","Not IBD",TRIM(RISK进展队列GEO回末测序数据整理!G79))</f>
        <v>Not IBD</v>
      </c>
      <c r="S80" s="22" t="str">
        <f>IF(LOWER(TRIM(RISK进展队列GEO回末测序数据整理!H79))="not ibd","Not IBD",TRIM(RISK进展队列GEO回末测序数据整理!H79))</f>
        <v>Not IBD</v>
      </c>
      <c r="T80" s="22" t="str">
        <f>IF(RISK进展队列GEO回末测序数据整理!D79="女","女性",IF(RISK进展队列GEO回末测序数据整理!D79="男","男性",TRIM(RISK进展队列GEO回末测序数据整理!D79)))</f>
        <v>男性</v>
      </c>
      <c r="U80" s="22">
        <f>RISK进展队列GEO回末测序数据整理!E79</f>
        <v>12.83</v>
      </c>
      <c r="V80" s="22" t="str">
        <f>RISK进展队列GEO回末测序数据整理!F79</f>
        <v>A1b</v>
      </c>
      <c r="W80" s="22" t="str">
        <f>IF(RISK进展队列GEO回末测序数据整理!I79="Macroscopic inflammation","Macro",IF(RISK进展队列GEO回末测序数据整理!I79="Microscopic inflammation","Micro",TRIM(RISK进展队列GEO回末测序数据整理!I79)))</f>
        <v>NA</v>
      </c>
      <c r="X80" s="22" t="str">
        <f>IF(RISK进展队列GEO回末测序数据整理!J79=1,"Yes",IF(RISK进展队列GEO回末测序数据整理!J79=0,"No","N/A"))</f>
        <v>N/A</v>
      </c>
      <c r="Y80" s="22">
        <f>IF(Q80="","",IF(COUNTIF($Q$3:Q80,Q80)=1,1,0))</f>
        <v>1</v>
      </c>
      <c r="Z80" s="22">
        <f>IF(Q80="","",IF(COUNTIFS($Q$3:Q80,Q80,$R$3:R80,R80)=1,1,0))</f>
        <v>1</v>
      </c>
    </row>
    <row r="81" spans="16:26" x14ac:dyDescent="0.4">
      <c r="P81" s="22" t="str">
        <f>RISK进展队列GEO回末测序数据整理!A80</f>
        <v>GSM1598486</v>
      </c>
      <c r="Q81" s="22" t="str">
        <f>RISK进展队列GEO回末测序数据整理!B80</f>
        <v>CCFA_Risk_079</v>
      </c>
      <c r="R81" s="22" t="str">
        <f>IF(LOWER(TRIM(RISK进展队列GEO回末测序数据整理!G80))="not ibd","Not IBD",TRIM(RISK进展队列GEO回末测序数据整理!G80))</f>
        <v>Not IBD</v>
      </c>
      <c r="S81" s="22" t="str">
        <f>IF(LOWER(TRIM(RISK进展队列GEO回末测序数据整理!H80))="not ibd","Not IBD",TRIM(RISK进展队列GEO回末测序数据整理!H80))</f>
        <v>Not IBD</v>
      </c>
      <c r="T81" s="22" t="str">
        <f>IF(RISK进展队列GEO回末测序数据整理!D80="女","女性",IF(RISK进展队列GEO回末测序数据整理!D80="男","男性",TRIM(RISK进展队列GEO回末测序数据整理!D80)))</f>
        <v>男性</v>
      </c>
      <c r="U81" s="22">
        <f>RISK进展队列GEO回末测序数据整理!E80</f>
        <v>8.5</v>
      </c>
      <c r="V81" s="22" t="str">
        <f>RISK进展队列GEO回末测序数据整理!F80</f>
        <v>A1a</v>
      </c>
      <c r="W81" s="22" t="str">
        <f>IF(RISK进展队列GEO回末测序数据整理!I80="Macroscopic inflammation","Macro",IF(RISK进展队列GEO回末测序数据整理!I80="Microscopic inflammation","Micro",TRIM(RISK进展队列GEO回末测序数据整理!I80)))</f>
        <v>NA</v>
      </c>
      <c r="X81" s="22" t="str">
        <f>IF(RISK进展队列GEO回末测序数据整理!J80=1,"Yes",IF(RISK进展队列GEO回末测序数据整理!J80=0,"No","N/A"))</f>
        <v>N/A</v>
      </c>
      <c r="Y81" s="22">
        <f>IF(Q81="","",IF(COUNTIF($Q$3:Q81,Q81)=1,1,0))</f>
        <v>1</v>
      </c>
      <c r="Z81" s="22">
        <f>IF(Q81="","",IF(COUNTIFS($Q$3:Q81,Q81,$R$3:R81,R81)=1,1,0))</f>
        <v>1</v>
      </c>
    </row>
    <row r="82" spans="16:26" x14ac:dyDescent="0.4">
      <c r="P82" s="22" t="str">
        <f>RISK进展队列GEO回末测序数据整理!A81</f>
        <v>GSM1598487</v>
      </c>
      <c r="Q82" s="22" t="str">
        <f>RISK进展队列GEO回末测序数据整理!B81</f>
        <v>CCFA_Risk_080</v>
      </c>
      <c r="R82" s="22" t="str">
        <f>IF(LOWER(TRIM(RISK进展队列GEO回末测序数据整理!G81))="not ibd","Not IBD",TRIM(RISK进展队列GEO回末测序数据整理!G81))</f>
        <v>Not IBD</v>
      </c>
      <c r="S82" s="22" t="str">
        <f>IF(LOWER(TRIM(RISK进展队列GEO回末测序数据整理!H81))="not ibd","Not IBD",TRIM(RISK进展队列GEO回末测序数据整理!H81))</f>
        <v>Not IBD</v>
      </c>
      <c r="T82" s="22" t="str">
        <f>IF(RISK进展队列GEO回末测序数据整理!D81="女","女性",IF(RISK进展队列GEO回末测序数据整理!D81="男","男性",TRIM(RISK进展队列GEO回末测序数据整理!D81)))</f>
        <v>男性</v>
      </c>
      <c r="U82" s="22">
        <f>RISK进展队列GEO回末测序数据整理!E81</f>
        <v>14.17</v>
      </c>
      <c r="V82" s="22" t="str">
        <f>RISK进展队列GEO回末测序数据整理!F81</f>
        <v>A1b</v>
      </c>
      <c r="W82" s="22" t="str">
        <f>IF(RISK进展队列GEO回末测序数据整理!I81="Macroscopic inflammation","Macro",IF(RISK进展队列GEO回末测序数据整理!I81="Microscopic inflammation","Micro",TRIM(RISK进展队列GEO回末测序数据整理!I81)))</f>
        <v>NA</v>
      </c>
      <c r="X82" s="22" t="str">
        <f>IF(RISK进展队列GEO回末测序数据整理!J81=1,"Yes",IF(RISK进展队列GEO回末测序数据整理!J81=0,"No","N/A"))</f>
        <v>N/A</v>
      </c>
      <c r="Y82" s="22">
        <f>IF(Q82="","",IF(COUNTIF($Q$3:Q82,Q82)=1,1,0))</f>
        <v>1</v>
      </c>
      <c r="Z82" s="22">
        <f>IF(Q82="","",IF(COUNTIFS($Q$3:Q82,Q82,$R$3:R82,R82)=1,1,0))</f>
        <v>1</v>
      </c>
    </row>
    <row r="83" spans="16:26" x14ac:dyDescent="0.4">
      <c r="P83" s="22" t="str">
        <f>RISK进展队列GEO回末测序数据整理!A82</f>
        <v>GSM1598488</v>
      </c>
      <c r="Q83" s="22" t="str">
        <f>RISK进展队列GEO回末测序数据整理!B82</f>
        <v>CCFA_Risk_081</v>
      </c>
      <c r="R83" s="22" t="str">
        <f>IF(LOWER(TRIM(RISK进展队列GEO回末测序数据整理!G82))="not ibd","Not IBD",TRIM(RISK进展队列GEO回末测序数据整理!G82))</f>
        <v>Not IBD</v>
      </c>
      <c r="S83" s="22" t="str">
        <f>IF(LOWER(TRIM(RISK进展队列GEO回末测序数据整理!H82))="not ibd","Not IBD",TRIM(RISK进展队列GEO回末测序数据整理!H82))</f>
        <v>Not IBD</v>
      </c>
      <c r="T83" s="22" t="str">
        <f>IF(RISK进展队列GEO回末测序数据整理!D82="女","女性",IF(RISK进展队列GEO回末测序数据整理!D82="男","男性",TRIM(RISK进展队列GEO回末测序数据整理!D82)))</f>
        <v>男性</v>
      </c>
      <c r="U83" s="22">
        <f>RISK进展队列GEO回末测序数据整理!E82</f>
        <v>15.83</v>
      </c>
      <c r="V83" s="22" t="str">
        <f>RISK进展队列GEO回末测序数据整理!F82</f>
        <v>A1b</v>
      </c>
      <c r="W83" s="22" t="str">
        <f>IF(RISK进展队列GEO回末测序数据整理!I82="Macroscopic inflammation","Macro",IF(RISK进展队列GEO回末测序数据整理!I82="Microscopic inflammation","Micro",TRIM(RISK进展队列GEO回末测序数据整理!I82)))</f>
        <v>NA</v>
      </c>
      <c r="X83" s="22" t="str">
        <f>IF(RISK进展队列GEO回末测序数据整理!J82=1,"Yes",IF(RISK进展队列GEO回末测序数据整理!J82=0,"No","N/A"))</f>
        <v>N/A</v>
      </c>
      <c r="Y83" s="22">
        <f>IF(Q83="","",IF(COUNTIF($Q$3:Q83,Q83)=1,1,0))</f>
        <v>1</v>
      </c>
      <c r="Z83" s="22">
        <f>IF(Q83="","",IF(COUNTIFS($Q$3:Q83,Q83,$R$3:R83,R83)=1,1,0))</f>
        <v>1</v>
      </c>
    </row>
    <row r="84" spans="16:26" x14ac:dyDescent="0.4">
      <c r="P84" s="22" t="str">
        <f>RISK进展队列GEO回末测序数据整理!A83</f>
        <v>GSM1598489</v>
      </c>
      <c r="Q84" s="22" t="str">
        <f>RISK进展队列GEO回末测序数据整理!B83</f>
        <v>CCFA_Risk_082</v>
      </c>
      <c r="R84" s="22" t="str">
        <f>IF(LOWER(TRIM(RISK进展队列GEO回末测序数据整理!G83))="not ibd","Not IBD",TRIM(RISK进展队列GEO回末测序数据整理!G83))</f>
        <v>Not IBD</v>
      </c>
      <c r="S84" s="22" t="str">
        <f>IF(LOWER(TRIM(RISK进展队列GEO回末测序数据整理!H83))="not ibd","Not IBD",TRIM(RISK进展队列GEO回末测序数据整理!H83))</f>
        <v>Not IBD</v>
      </c>
      <c r="T84" s="22" t="str">
        <f>IF(RISK进展队列GEO回末测序数据整理!D83="女","女性",IF(RISK进展队列GEO回末测序数据整理!D83="男","男性",TRIM(RISK进展队列GEO回末测序数据整理!D83)))</f>
        <v>男性</v>
      </c>
      <c r="U84" s="22">
        <f>RISK进展队列GEO回末测序数据整理!E83</f>
        <v>15.58</v>
      </c>
      <c r="V84" s="22" t="str">
        <f>RISK进展队列GEO回末测序数据整理!F83</f>
        <v>A1b</v>
      </c>
      <c r="W84" s="22" t="str">
        <f>IF(RISK进展队列GEO回末测序数据整理!I83="Macroscopic inflammation","Macro",IF(RISK进展队列GEO回末测序数据整理!I83="Microscopic inflammation","Micro",TRIM(RISK进展队列GEO回末测序数据整理!I83)))</f>
        <v>NA</v>
      </c>
      <c r="X84" s="22" t="str">
        <f>IF(RISK进展队列GEO回末测序数据整理!J83=1,"Yes",IF(RISK进展队列GEO回末测序数据整理!J83=0,"No","N/A"))</f>
        <v>N/A</v>
      </c>
      <c r="Y84" s="22">
        <f>IF(Q84="","",IF(COUNTIF($Q$3:Q84,Q84)=1,1,0))</f>
        <v>1</v>
      </c>
      <c r="Z84" s="22">
        <f>IF(Q84="","",IF(COUNTIFS($Q$3:Q84,Q84,$R$3:R84,R84)=1,1,0))</f>
        <v>1</v>
      </c>
    </row>
    <row r="85" spans="16:26" x14ac:dyDescent="0.4">
      <c r="P85" s="22" t="str">
        <f>RISK进展队列GEO回末测序数据整理!A84</f>
        <v>GSM1598490</v>
      </c>
      <c r="Q85" s="22" t="str">
        <f>RISK进展队列GEO回末测序数据整理!B84</f>
        <v>CCFA_Risk_083</v>
      </c>
      <c r="R85" s="22" t="str">
        <f>IF(LOWER(TRIM(RISK进展队列GEO回末测序数据整理!G84))="not ibd","Not IBD",TRIM(RISK进展队列GEO回末测序数据整理!G84))</f>
        <v>Not IBD</v>
      </c>
      <c r="S85" s="22" t="str">
        <f>IF(LOWER(TRIM(RISK进展队列GEO回末测序数据整理!H84))="not ibd","Not IBD",TRIM(RISK进展队列GEO回末测序数据整理!H84))</f>
        <v>Not IBD</v>
      </c>
      <c r="T85" s="22" t="str">
        <f>IF(RISK进展队列GEO回末测序数据整理!D84="女","女性",IF(RISK进展队列GEO回末测序数据整理!D84="男","男性",TRIM(RISK进展队列GEO回末测序数据整理!D84)))</f>
        <v>男性</v>
      </c>
      <c r="U85" s="22">
        <f>RISK进展队列GEO回末测序数据整理!E84</f>
        <v>11.42</v>
      </c>
      <c r="V85" s="22" t="str">
        <f>RISK进展队列GEO回末测序数据整理!F84</f>
        <v>A1b</v>
      </c>
      <c r="W85" s="22" t="str">
        <f>IF(RISK进展队列GEO回末测序数据整理!I84="Macroscopic inflammation","Macro",IF(RISK进展队列GEO回末测序数据整理!I84="Microscopic inflammation","Micro",TRIM(RISK进展队列GEO回末测序数据整理!I84)))</f>
        <v>NA</v>
      </c>
      <c r="X85" s="22" t="str">
        <f>IF(RISK进展队列GEO回末测序数据整理!J84=1,"Yes",IF(RISK进展队列GEO回末测序数据整理!J84=0,"No","N/A"))</f>
        <v>N/A</v>
      </c>
      <c r="Y85" s="22">
        <f>IF(Q85="","",IF(COUNTIF($Q$3:Q85,Q85)=1,1,0))</f>
        <v>1</v>
      </c>
      <c r="Z85" s="22">
        <f>IF(Q85="","",IF(COUNTIFS($Q$3:Q85,Q85,$R$3:R85,R85)=1,1,0))</f>
        <v>1</v>
      </c>
    </row>
    <row r="86" spans="16:26" x14ac:dyDescent="0.4">
      <c r="P86" s="22" t="str">
        <f>RISK进展队列GEO回末测序数据整理!A85</f>
        <v>GSM1598491</v>
      </c>
      <c r="Q86" s="22" t="str">
        <f>RISK进展队列GEO回末测序数据整理!B85</f>
        <v>CCFA_Risk_084</v>
      </c>
      <c r="R86" s="22" t="str">
        <f>IF(LOWER(TRIM(RISK进展队列GEO回末测序数据整理!G85))="not ibd","Not IBD",TRIM(RISK进展队列GEO回末测序数据整理!G85))</f>
        <v>Not IBD</v>
      </c>
      <c r="S86" s="22" t="str">
        <f>IF(LOWER(TRIM(RISK进展队列GEO回末测序数据整理!H85))="not ibd","Not IBD",TRIM(RISK进展队列GEO回末测序数据整理!H85))</f>
        <v>Not IBD</v>
      </c>
      <c r="T86" s="22" t="str">
        <f>IF(RISK进展队列GEO回末测序数据整理!D85="女","女性",IF(RISK进展队列GEO回末测序数据整理!D85="男","男性",TRIM(RISK进展队列GEO回末测序数据整理!D85)))</f>
        <v>男性</v>
      </c>
      <c r="U86" s="22">
        <f>RISK进展队列GEO回末测序数据整理!E85</f>
        <v>10.25</v>
      </c>
      <c r="V86" s="22" t="str">
        <f>RISK进展队列GEO回末测序数据整理!F85</f>
        <v>A1b</v>
      </c>
      <c r="W86" s="22" t="str">
        <f>IF(RISK进展队列GEO回末测序数据整理!I85="Macroscopic inflammation","Macro",IF(RISK进展队列GEO回末测序数据整理!I85="Microscopic inflammation","Micro",TRIM(RISK进展队列GEO回末测序数据整理!I85)))</f>
        <v>NA</v>
      </c>
      <c r="X86" s="22" t="str">
        <f>IF(RISK进展队列GEO回末测序数据整理!J85=1,"Yes",IF(RISK进展队列GEO回末测序数据整理!J85=0,"No","N/A"))</f>
        <v>N/A</v>
      </c>
      <c r="Y86" s="22">
        <f>IF(Q86="","",IF(COUNTIF($Q$3:Q86,Q86)=1,1,0))</f>
        <v>1</v>
      </c>
      <c r="Z86" s="22">
        <f>IF(Q86="","",IF(COUNTIFS($Q$3:Q86,Q86,$R$3:R86,R86)=1,1,0))</f>
        <v>1</v>
      </c>
    </row>
    <row r="87" spans="16:26" x14ac:dyDescent="0.4">
      <c r="P87" s="22" t="str">
        <f>RISK进展队列GEO回末测序数据整理!A86</f>
        <v>GSM1598492</v>
      </c>
      <c r="Q87" s="22" t="str">
        <f>RISK进展队列GEO回末测序数据整理!B86</f>
        <v>CCFA_Risk_085</v>
      </c>
      <c r="R87" s="22" t="str">
        <f>IF(LOWER(TRIM(RISK进展队列GEO回末测序数据整理!G86))="not ibd","Not IBD",TRIM(RISK进展队列GEO回末测序数据整理!G86))</f>
        <v>Not IBD</v>
      </c>
      <c r="S87" s="22" t="str">
        <f>IF(LOWER(TRIM(RISK进展队列GEO回末测序数据整理!H86))="not ibd","Not IBD",TRIM(RISK进展队列GEO回末测序数据整理!H86))</f>
        <v>Not IBD</v>
      </c>
      <c r="T87" s="22" t="str">
        <f>IF(RISK进展队列GEO回末测序数据整理!D86="女","女性",IF(RISK进展队列GEO回末测序数据整理!D86="男","男性",TRIM(RISK进展队列GEO回末测序数据整理!D86)))</f>
        <v>女性</v>
      </c>
      <c r="U87" s="22">
        <f>RISK进展队列GEO回末测序数据整理!E86</f>
        <v>6.58</v>
      </c>
      <c r="V87" s="22" t="str">
        <f>RISK进展队列GEO回末测序数据整理!F86</f>
        <v>A1a</v>
      </c>
      <c r="W87" s="22" t="str">
        <f>IF(RISK进展队列GEO回末测序数据整理!I86="Macroscopic inflammation","Macro",IF(RISK进展队列GEO回末测序数据整理!I86="Microscopic inflammation","Micro",TRIM(RISK进展队列GEO回末测序数据整理!I86)))</f>
        <v>NA</v>
      </c>
      <c r="X87" s="22" t="str">
        <f>IF(RISK进展队列GEO回末测序数据整理!J86=1,"Yes",IF(RISK进展队列GEO回末测序数据整理!J86=0,"No","N/A"))</f>
        <v>N/A</v>
      </c>
      <c r="Y87" s="22">
        <f>IF(Q87="","",IF(COUNTIF($Q$3:Q87,Q87)=1,1,0))</f>
        <v>1</v>
      </c>
      <c r="Z87" s="22">
        <f>IF(Q87="","",IF(COUNTIFS($Q$3:Q87,Q87,$R$3:R87,R87)=1,1,0))</f>
        <v>1</v>
      </c>
    </row>
    <row r="88" spans="16:26" x14ac:dyDescent="0.4">
      <c r="P88" s="22" t="str">
        <f>RISK进展队列GEO回末测序数据整理!A87</f>
        <v>GSM1598493</v>
      </c>
      <c r="Q88" s="22" t="str">
        <f>RISK进展队列GEO回末测序数据整理!B87</f>
        <v>CCFA_Risk_086</v>
      </c>
      <c r="R88" s="22" t="str">
        <f>IF(LOWER(TRIM(RISK进展队列GEO回末测序数据整理!G87))="not ibd","Not IBD",TRIM(RISK进展队列GEO回末测序数据整理!G87))</f>
        <v>Not IBD</v>
      </c>
      <c r="S88" s="22" t="str">
        <f>IF(LOWER(TRIM(RISK进展队列GEO回末测序数据整理!H87))="not ibd","Not IBD",TRIM(RISK进展队列GEO回末测序数据整理!H87))</f>
        <v>Not IBD</v>
      </c>
      <c r="T88" s="22" t="str">
        <f>IF(RISK进展队列GEO回末测序数据整理!D87="女","女性",IF(RISK进展队列GEO回末测序数据整理!D87="男","男性",TRIM(RISK进展队列GEO回末测序数据整理!D87)))</f>
        <v>女性</v>
      </c>
      <c r="U88" s="22">
        <f>RISK进展队列GEO回末测序数据整理!E87</f>
        <v>14.75</v>
      </c>
      <c r="V88" s="22" t="str">
        <f>RISK进展队列GEO回末测序数据整理!F87</f>
        <v>A1b</v>
      </c>
      <c r="W88" s="22" t="str">
        <f>IF(RISK进展队列GEO回末测序数据整理!I87="Macroscopic inflammation","Macro",IF(RISK进展队列GEO回末测序数据整理!I87="Microscopic inflammation","Micro",TRIM(RISK进展队列GEO回末测序数据整理!I87)))</f>
        <v>NA</v>
      </c>
      <c r="X88" s="22" t="str">
        <f>IF(RISK进展队列GEO回末测序数据整理!J87=1,"Yes",IF(RISK进展队列GEO回末测序数据整理!J87=0,"No","N/A"))</f>
        <v>N/A</v>
      </c>
      <c r="Y88" s="22">
        <f>IF(Q88="","",IF(COUNTIF($Q$3:Q88,Q88)=1,1,0))</f>
        <v>1</v>
      </c>
      <c r="Z88" s="22">
        <f>IF(Q88="","",IF(COUNTIFS($Q$3:Q88,Q88,$R$3:R88,R88)=1,1,0))</f>
        <v>1</v>
      </c>
    </row>
    <row r="89" spans="16:26" x14ac:dyDescent="0.4">
      <c r="P89" s="22" t="str">
        <f>RISK进展队列GEO回末测序数据整理!A88</f>
        <v>GSM1598494</v>
      </c>
      <c r="Q89" s="22" t="str">
        <f>RISK进展队列GEO回末测序数据整理!B88</f>
        <v>CCFA_Risk_087</v>
      </c>
      <c r="R89" s="22" t="str">
        <f>IF(LOWER(TRIM(RISK进展队列GEO回末测序数据整理!G88))="not ibd","Not IBD",TRIM(RISK进展队列GEO回末测序数据整理!G88))</f>
        <v>Not IBD</v>
      </c>
      <c r="S89" s="22" t="str">
        <f>IF(LOWER(TRIM(RISK进展队列GEO回末测序数据整理!H88))="not ibd","Not IBD",TRIM(RISK进展队列GEO回末测序数据整理!H88))</f>
        <v>Not IBD</v>
      </c>
      <c r="T89" s="22" t="str">
        <f>IF(RISK进展队列GEO回末测序数据整理!D88="女","女性",IF(RISK进展队列GEO回末测序数据整理!D88="男","男性",TRIM(RISK进展队列GEO回末测序数据整理!D88)))</f>
        <v>女性</v>
      </c>
      <c r="U89" s="22">
        <f>RISK进展队列GEO回末测序数据整理!E88</f>
        <v>11.58</v>
      </c>
      <c r="V89" s="22" t="str">
        <f>RISK进展队列GEO回末测序数据整理!F88</f>
        <v>A1b</v>
      </c>
      <c r="W89" s="22" t="str">
        <f>IF(RISK进展队列GEO回末测序数据整理!I88="Macroscopic inflammation","Macro",IF(RISK进展队列GEO回末测序数据整理!I88="Microscopic inflammation","Micro",TRIM(RISK进展队列GEO回末测序数据整理!I88)))</f>
        <v>NA</v>
      </c>
      <c r="X89" s="22" t="str">
        <f>IF(RISK进展队列GEO回末测序数据整理!J88=1,"Yes",IF(RISK进展队列GEO回末测序数据整理!J88=0,"No","N/A"))</f>
        <v>N/A</v>
      </c>
      <c r="Y89" s="22">
        <f>IF(Q89="","",IF(COUNTIF($Q$3:Q89,Q89)=1,1,0))</f>
        <v>1</v>
      </c>
      <c r="Z89" s="22">
        <f>IF(Q89="","",IF(COUNTIFS($Q$3:Q89,Q89,$R$3:R89,R89)=1,1,0))</f>
        <v>1</v>
      </c>
    </row>
    <row r="90" spans="16:26" x14ac:dyDescent="0.4">
      <c r="P90" s="22" t="str">
        <f>RISK进展队列GEO回末测序数据整理!A89</f>
        <v>GSM1598495</v>
      </c>
      <c r="Q90" s="22" t="str">
        <f>RISK进展队列GEO回末测序数据整理!B89</f>
        <v>CCFA_Risk_088</v>
      </c>
      <c r="R90" s="22" t="str">
        <f>IF(LOWER(TRIM(RISK进展队列GEO回末测序数据整理!G89))="not ibd","Not IBD",TRIM(RISK进展队列GEO回末测序数据整理!G89))</f>
        <v>Not IBD</v>
      </c>
      <c r="S90" s="22" t="str">
        <f>IF(LOWER(TRIM(RISK进展队列GEO回末测序数据整理!H89))="not ibd","Not IBD",TRIM(RISK进展队列GEO回末测序数据整理!H89))</f>
        <v>Not IBD</v>
      </c>
      <c r="T90" s="22" t="str">
        <f>IF(RISK进展队列GEO回末测序数据整理!D89="女","女性",IF(RISK进展队列GEO回末测序数据整理!D89="男","男性",TRIM(RISK进展队列GEO回末测序数据整理!D89)))</f>
        <v>女性</v>
      </c>
      <c r="U90" s="22">
        <f>RISK进展队列GEO回末测序数据整理!E89</f>
        <v>10.33</v>
      </c>
      <c r="V90" s="22" t="str">
        <f>RISK进展队列GEO回末测序数据整理!F89</f>
        <v>A1b</v>
      </c>
      <c r="W90" s="22" t="str">
        <f>IF(RISK进展队列GEO回末测序数据整理!I89="Macroscopic inflammation","Macro",IF(RISK进展队列GEO回末测序数据整理!I89="Microscopic inflammation","Micro",TRIM(RISK进展队列GEO回末测序数据整理!I89)))</f>
        <v>NA</v>
      </c>
      <c r="X90" s="22" t="str">
        <f>IF(RISK进展队列GEO回末测序数据整理!J89=1,"Yes",IF(RISK进展队列GEO回末测序数据整理!J89=0,"No","N/A"))</f>
        <v>N/A</v>
      </c>
      <c r="Y90" s="22">
        <f>IF(Q90="","",IF(COUNTIF($Q$3:Q90,Q90)=1,1,0))</f>
        <v>1</v>
      </c>
      <c r="Z90" s="22">
        <f>IF(Q90="","",IF(COUNTIFS($Q$3:Q90,Q90,$R$3:R90,R90)=1,1,0))</f>
        <v>1</v>
      </c>
    </row>
    <row r="91" spans="16:26" x14ac:dyDescent="0.4">
      <c r="P91" s="22" t="str">
        <f>RISK进展队列GEO回末测序数据整理!A90</f>
        <v>GSM1598496</v>
      </c>
      <c r="Q91" s="22" t="str">
        <f>RISK进展队列GEO回末测序数据整理!B90</f>
        <v>CCFA_Risk_089</v>
      </c>
      <c r="R91" s="22" t="str">
        <f>IF(LOWER(TRIM(RISK进展队列GEO回末测序数据整理!G90))="not ibd","Not IBD",TRIM(RISK进展队列GEO回末测序数据整理!G90))</f>
        <v>Not IBD</v>
      </c>
      <c r="S91" s="22" t="str">
        <f>IF(LOWER(TRIM(RISK进展队列GEO回末测序数据整理!H90))="not ibd","Not IBD",TRIM(RISK进展队列GEO回末测序数据整理!H90))</f>
        <v>Not IBD</v>
      </c>
      <c r="T91" s="22" t="str">
        <f>IF(RISK进展队列GEO回末测序数据整理!D90="女","女性",IF(RISK进展队列GEO回末测序数据整理!D90="男","男性",TRIM(RISK进展队列GEO回末测序数据整理!D90)))</f>
        <v>男性</v>
      </c>
      <c r="U91" s="22">
        <f>RISK进展队列GEO回末测序数据整理!E90</f>
        <v>15.75</v>
      </c>
      <c r="V91" s="22" t="str">
        <f>RISK进展队列GEO回末测序数据整理!F90</f>
        <v>A1b</v>
      </c>
      <c r="W91" s="22" t="str">
        <f>IF(RISK进展队列GEO回末测序数据整理!I90="Macroscopic inflammation","Macro",IF(RISK进展队列GEO回末测序数据整理!I90="Microscopic inflammation","Micro",TRIM(RISK进展队列GEO回末测序数据整理!I90)))</f>
        <v>NA</v>
      </c>
      <c r="X91" s="22" t="str">
        <f>IF(RISK进展队列GEO回末测序数据整理!J90=1,"Yes",IF(RISK进展队列GEO回末测序数据整理!J90=0,"No","N/A"))</f>
        <v>N/A</v>
      </c>
      <c r="Y91" s="22">
        <f>IF(Q91="","",IF(COUNTIF($Q$3:Q91,Q91)=1,1,0))</f>
        <v>1</v>
      </c>
      <c r="Z91" s="22">
        <f>IF(Q91="","",IF(COUNTIFS($Q$3:Q91,Q91,$R$3:R91,R91)=1,1,0))</f>
        <v>1</v>
      </c>
    </row>
    <row r="92" spans="16:26" x14ac:dyDescent="0.4">
      <c r="P92" s="22" t="str">
        <f>RISK进展队列GEO回末测序数据整理!A91</f>
        <v>GSM1598497</v>
      </c>
      <c r="Q92" s="22" t="str">
        <f>RISK进展队列GEO回末测序数据整理!B91</f>
        <v>CCFA_Risk_090</v>
      </c>
      <c r="R92" s="22" t="str">
        <f>IF(LOWER(TRIM(RISK进展队列GEO回末测序数据整理!G91))="not ibd","Not IBD",TRIM(RISK进展队列GEO回末测序数据整理!G91))</f>
        <v>Not IBD</v>
      </c>
      <c r="S92" s="22" t="str">
        <f>IF(LOWER(TRIM(RISK进展队列GEO回末测序数据整理!H91))="not ibd","Not IBD",TRIM(RISK进展队列GEO回末测序数据整理!H91))</f>
        <v>Not IBD</v>
      </c>
      <c r="T92" s="22" t="str">
        <f>IF(RISK进展队列GEO回末测序数据整理!D91="女","女性",IF(RISK进展队列GEO回末测序数据整理!D91="男","男性",TRIM(RISK进展队列GEO回末测序数据整理!D91)))</f>
        <v>女性</v>
      </c>
      <c r="U92" s="22">
        <f>RISK进展队列GEO回末测序数据整理!E91</f>
        <v>9.92</v>
      </c>
      <c r="V92" s="22" t="str">
        <f>RISK进展队列GEO回末测序数据整理!F91</f>
        <v>A1a</v>
      </c>
      <c r="W92" s="22" t="str">
        <f>IF(RISK进展队列GEO回末测序数据整理!I91="Macroscopic inflammation","Macro",IF(RISK进展队列GEO回末测序数据整理!I91="Microscopic inflammation","Micro",TRIM(RISK进展队列GEO回末测序数据整理!I91)))</f>
        <v>NA</v>
      </c>
      <c r="X92" s="22" t="str">
        <f>IF(RISK进展队列GEO回末测序数据整理!J91=1,"Yes",IF(RISK进展队列GEO回末测序数据整理!J91=0,"No","N/A"))</f>
        <v>N/A</v>
      </c>
      <c r="Y92" s="22">
        <f>IF(Q92="","",IF(COUNTIF($Q$3:Q92,Q92)=1,1,0))</f>
        <v>1</v>
      </c>
      <c r="Z92" s="22">
        <f>IF(Q92="","",IF(COUNTIFS($Q$3:Q92,Q92,$R$3:R92,R92)=1,1,0))</f>
        <v>1</v>
      </c>
    </row>
    <row r="93" spans="16:26" x14ac:dyDescent="0.4">
      <c r="P93" s="22" t="str">
        <f>RISK进展队列GEO回末测序数据整理!A92</f>
        <v>GSM1598498</v>
      </c>
      <c r="Q93" s="22" t="str">
        <f>RISK进展队列GEO回末测序数据整理!B92</f>
        <v>CCFA_Risk_091</v>
      </c>
      <c r="R93" s="22" t="str">
        <f>IF(LOWER(TRIM(RISK进展队列GEO回末测序数据整理!G92))="not ibd","Not IBD",TRIM(RISK进展队列GEO回末测序数据整理!G92))</f>
        <v>CD</v>
      </c>
      <c r="S93" s="22" t="str">
        <f>IF(LOWER(TRIM(RISK进展队列GEO回末测序数据整理!H92))="not ibd","Not IBD",TRIM(RISK进展队列GEO回末测序数据整理!H92))</f>
        <v>cCD</v>
      </c>
      <c r="T93" s="22" t="str">
        <f>IF(RISK进展队列GEO回末测序数据整理!D92="女","女性",IF(RISK进展队列GEO回末测序数据整理!D92="男","男性",TRIM(RISK进展队列GEO回末测序数据整理!D92)))</f>
        <v>男性</v>
      </c>
      <c r="U93" s="22">
        <f>RISK进展队列GEO回末测序数据整理!E92</f>
        <v>14.75</v>
      </c>
      <c r="V93" s="22" t="str">
        <f>RISK进展队列GEO回末测序数据整理!F92</f>
        <v>A1b</v>
      </c>
      <c r="W93" s="22" t="str">
        <f>IF(RISK进展队列GEO回末测序数据整理!I92="Macroscopic inflammation","Macro",IF(RISK进展队列GEO回末测序数据整理!I92="Microscopic inflammation","Micro",TRIM(RISK进展队列GEO回末测序数据整理!I92)))</f>
        <v>Micro</v>
      </c>
      <c r="X93" s="22" t="str">
        <f>IF(RISK进展队列GEO回末测序数据整理!J92=1,"Yes",IF(RISK进展队列GEO回末测序数据整理!J92=0,"No","N/A"))</f>
        <v>No</v>
      </c>
      <c r="Y93" s="22">
        <f>IF(Q93="","",IF(COUNTIF($Q$3:Q93,Q93)=1,1,0))</f>
        <v>1</v>
      </c>
      <c r="Z93" s="22">
        <f>IF(Q93="","",IF(COUNTIFS($Q$3:Q93,Q93,$R$3:R93,R93)=1,1,0))</f>
        <v>1</v>
      </c>
    </row>
    <row r="94" spans="16:26" x14ac:dyDescent="0.4">
      <c r="P94" s="22" t="str">
        <f>RISK进展队列GEO回末测序数据整理!A93</f>
        <v>GSM1598499</v>
      </c>
      <c r="Q94" s="22" t="str">
        <f>RISK进展队列GEO回末测序数据整理!B93</f>
        <v>CCFA_Risk_092</v>
      </c>
      <c r="R94" s="22" t="str">
        <f>IF(LOWER(TRIM(RISK进展队列GEO回末测序数据整理!G93))="not ibd","Not IBD",TRIM(RISK进展队列GEO回末测序数据整理!G93))</f>
        <v>UC</v>
      </c>
      <c r="S94" s="22" t="str">
        <f>IF(LOWER(TRIM(RISK进展队列GEO回末测序数据整理!H93))="not ibd","Not IBD",TRIM(RISK进展队列GEO回末测序数据整理!H93))</f>
        <v>UC</v>
      </c>
      <c r="T94" s="22" t="str">
        <f>IF(RISK进展队列GEO回末测序数据整理!D93="女","女性",IF(RISK进展队列GEO回末测序数据整理!D93="男","男性",TRIM(RISK进展队列GEO回末测序数据整理!D93)))</f>
        <v>男性</v>
      </c>
      <c r="U94" s="22">
        <f>RISK进展队列GEO回末测序数据整理!E93</f>
        <v>9.83</v>
      </c>
      <c r="V94" s="22" t="str">
        <f>RISK进展队列GEO回末测序数据整理!F93</f>
        <v>A1a</v>
      </c>
      <c r="W94" s="22" t="str">
        <f>IF(RISK进展队列GEO回末测序数据整理!I93="Macroscopic inflammation","Macro",IF(RISK进展队列GEO回末测序数据整理!I93="Microscopic inflammation","Micro",TRIM(RISK进展队列GEO回末测序数据整理!I93)))</f>
        <v>NA</v>
      </c>
      <c r="X94" s="22" t="str">
        <f>IF(RISK进展队列GEO回末测序数据整理!J93=1,"Yes",IF(RISK进展队列GEO回末测序数据整理!J93=0,"No","N/A"))</f>
        <v>N/A</v>
      </c>
      <c r="Y94" s="22">
        <f>IF(Q94="","",IF(COUNTIF($Q$3:Q94,Q94)=1,1,0))</f>
        <v>1</v>
      </c>
      <c r="Z94" s="22">
        <f>IF(Q94="","",IF(COUNTIFS($Q$3:Q94,Q94,$R$3:R94,R94)=1,1,0))</f>
        <v>1</v>
      </c>
    </row>
    <row r="95" spans="16:26" x14ac:dyDescent="0.4">
      <c r="P95" s="22" t="str">
        <f>RISK进展队列GEO回末测序数据整理!A94</f>
        <v>GSM1598500</v>
      </c>
      <c r="Q95" s="22" t="str">
        <f>RISK进展队列GEO回末测序数据整理!B94</f>
        <v>CCFA_Risk_093</v>
      </c>
      <c r="R95" s="22" t="str">
        <f>IF(LOWER(TRIM(RISK进展队列GEO回末测序数据整理!G94))="not ibd","Not IBD",TRIM(RISK进展队列GEO回末测序数据整理!G94))</f>
        <v>CD</v>
      </c>
      <c r="S95" s="22" t="str">
        <f>IF(LOWER(TRIM(RISK进展队列GEO回末测序数据整理!H94))="not ibd","Not IBD",TRIM(RISK进展队列GEO回末测序数据整理!H94))</f>
        <v>iCD</v>
      </c>
      <c r="T95" s="22" t="str">
        <f>IF(RISK进展队列GEO回末测序数据整理!D94="女","女性",IF(RISK进展队列GEO回末测序数据整理!D94="男","男性",TRIM(RISK进展队列GEO回末测序数据整理!D94)))</f>
        <v>男性</v>
      </c>
      <c r="U95" s="22">
        <f>RISK进展队列GEO回末测序数据整理!E94</f>
        <v>5.75</v>
      </c>
      <c r="V95" s="22" t="str">
        <f>RISK进展队列GEO回末测序数据整理!F94</f>
        <v>A1a</v>
      </c>
      <c r="W95" s="22" t="str">
        <f>IF(RISK进展队列GEO回末测序数据整理!I94="Macroscopic inflammation","Macro",IF(RISK进展队列GEO回末测序数据整理!I94="Microscopic inflammation","Micro",TRIM(RISK进展队列GEO回末测序数据整理!I94)))</f>
        <v>Macro</v>
      </c>
      <c r="X95" s="22" t="str">
        <f>IF(RISK进展队列GEO回末测序数据整理!J94=1,"Yes",IF(RISK进展队列GEO回末测序数据整理!J94=0,"No","N/A"))</f>
        <v>Yes</v>
      </c>
      <c r="Y95" s="22">
        <f>IF(Q95="","",IF(COUNTIF($Q$3:Q95,Q95)=1,1,0))</f>
        <v>1</v>
      </c>
      <c r="Z95" s="22">
        <f>IF(Q95="","",IF(COUNTIFS($Q$3:Q95,Q95,$R$3:R95,R95)=1,1,0))</f>
        <v>1</v>
      </c>
    </row>
    <row r="96" spans="16:26" x14ac:dyDescent="0.4">
      <c r="P96" s="22" t="str">
        <f>RISK进展队列GEO回末测序数据整理!A95</f>
        <v>GSM1598501</v>
      </c>
      <c r="Q96" s="22" t="str">
        <f>RISK进展队列GEO回末测序数据整理!B95</f>
        <v>CCFA_Risk_094</v>
      </c>
      <c r="R96" s="22" t="str">
        <f>IF(LOWER(TRIM(RISK进展队列GEO回末测序数据整理!G95))="not ibd","Not IBD",TRIM(RISK进展队列GEO回末测序数据整理!G95))</f>
        <v>CD</v>
      </c>
      <c r="S96" s="22" t="str">
        <f>IF(LOWER(TRIM(RISK进展队列GEO回末测序数据整理!H95))="not ibd","Not IBD",TRIM(RISK进展队列GEO回末测序数据整理!H95))</f>
        <v>cCD</v>
      </c>
      <c r="T96" s="22" t="str">
        <f>IF(RISK进展队列GEO回末测序数据整理!D95="女","女性",IF(RISK进展队列GEO回末测序数据整理!D95="男","男性",TRIM(RISK进展队列GEO回末测序数据整理!D95)))</f>
        <v>女性</v>
      </c>
      <c r="U96" s="22">
        <f>RISK进展队列GEO回末测序数据整理!E95</f>
        <v>9.75</v>
      </c>
      <c r="V96" s="22" t="str">
        <f>RISK进展队列GEO回末测序数据整理!F95</f>
        <v>A1a</v>
      </c>
      <c r="W96" s="22" t="str">
        <f>IF(RISK进展队列GEO回末测序数据整理!I95="Macroscopic inflammation","Macro",IF(RISK进展队列GEO回末测序数据整理!I95="Microscopic inflammation","Micro",TRIM(RISK进展队列GEO回末测序数据整理!I95)))</f>
        <v>Normal</v>
      </c>
      <c r="X96" s="22" t="str">
        <f>IF(RISK进展队列GEO回末测序数据整理!J95=1,"Yes",IF(RISK进展队列GEO回末测序数据整理!J95=0,"No","N/A"))</f>
        <v>No</v>
      </c>
      <c r="Y96" s="22">
        <f>IF(Q96="","",IF(COUNTIF($Q$3:Q96,Q96)=1,1,0))</f>
        <v>1</v>
      </c>
      <c r="Z96" s="22">
        <f>IF(Q96="","",IF(COUNTIFS($Q$3:Q96,Q96,$R$3:R96,R96)=1,1,0))</f>
        <v>1</v>
      </c>
    </row>
    <row r="97" spans="16:26" x14ac:dyDescent="0.4">
      <c r="P97" s="22" t="str">
        <f>RISK进展队列GEO回末测序数据整理!A96</f>
        <v>GSM1598502</v>
      </c>
      <c r="Q97" s="22" t="str">
        <f>RISK进展队列GEO回末测序数据整理!B96</f>
        <v>CCFA_Risk_095</v>
      </c>
      <c r="R97" s="22" t="str">
        <f>IF(LOWER(TRIM(RISK进展队列GEO回末测序数据整理!G96))="not ibd","Not IBD",TRIM(RISK进展队列GEO回末测序数据整理!G96))</f>
        <v>CD</v>
      </c>
      <c r="S97" s="22" t="str">
        <f>IF(LOWER(TRIM(RISK进展队列GEO回末测序数据整理!H96))="not ibd","Not IBD",TRIM(RISK进展队列GEO回末测序数据整理!H96))</f>
        <v>iCD</v>
      </c>
      <c r="T97" s="22" t="str">
        <f>IF(RISK进展队列GEO回末测序数据整理!D96="女","女性",IF(RISK进展队列GEO回末测序数据整理!D96="男","男性",TRIM(RISK进展队列GEO回末测序数据整理!D96)))</f>
        <v>男性</v>
      </c>
      <c r="U97" s="22">
        <f>RISK进展队列GEO回末测序数据整理!E96</f>
        <v>14.75</v>
      </c>
      <c r="V97" s="22" t="str">
        <f>RISK进展队列GEO回末测序数据整理!F96</f>
        <v>A1b</v>
      </c>
      <c r="W97" s="22" t="str">
        <f>IF(RISK进展队列GEO回末测序数据整理!I96="Macroscopic inflammation","Macro",IF(RISK进展队列GEO回末测序数据整理!I96="Microscopic inflammation","Micro",TRIM(RISK进展队列GEO回末测序数据整理!I96)))</f>
        <v>Macro</v>
      </c>
      <c r="X97" s="22" t="str">
        <f>IF(RISK进展队列GEO回末测序数据整理!J96=1,"Yes",IF(RISK进展队列GEO回末测序数据整理!J96=0,"No","N/A"))</f>
        <v>Yes</v>
      </c>
      <c r="Y97" s="22">
        <f>IF(Q97="","",IF(COUNTIF($Q$3:Q97,Q97)=1,1,0))</f>
        <v>1</v>
      </c>
      <c r="Z97" s="22">
        <f>IF(Q97="","",IF(COUNTIFS($Q$3:Q97,Q97,$R$3:R97,R97)=1,1,0))</f>
        <v>1</v>
      </c>
    </row>
    <row r="98" spans="16:26" x14ac:dyDescent="0.4">
      <c r="P98" s="22" t="str">
        <f>RISK进展队列GEO回末测序数据整理!A97</f>
        <v>GSM1598503</v>
      </c>
      <c r="Q98" s="22" t="str">
        <f>RISK进展队列GEO回末测序数据整理!B97</f>
        <v>CCFA_Risk_096</v>
      </c>
      <c r="R98" s="22" t="str">
        <f>IF(LOWER(TRIM(RISK进展队列GEO回末测序数据整理!G97))="not ibd","Not IBD",TRIM(RISK进展队列GEO回末测序数据整理!G97))</f>
        <v>CD</v>
      </c>
      <c r="S98" s="22" t="str">
        <f>IF(LOWER(TRIM(RISK进展队列GEO回末测序数据整理!H97))="not ibd","Not IBD",TRIM(RISK进展队列GEO回末测序数据整理!H97))</f>
        <v>iCD</v>
      </c>
      <c r="T98" s="22" t="str">
        <f>IF(RISK进展队列GEO回末测序数据整理!D97="女","女性",IF(RISK进展队列GEO回末测序数据整理!D97="男","男性",TRIM(RISK进展队列GEO回末测序数据整理!D97)))</f>
        <v>女性</v>
      </c>
      <c r="U98" s="22">
        <f>RISK进展队列GEO回末测序数据整理!E97</f>
        <v>13.08</v>
      </c>
      <c r="V98" s="22" t="str">
        <f>RISK进展队列GEO回末测序数据整理!F97</f>
        <v>A1b</v>
      </c>
      <c r="W98" s="22" t="str">
        <f>IF(RISK进展队列GEO回末测序数据整理!I97="Macroscopic inflammation","Macro",IF(RISK进展队列GEO回末测序数据整理!I97="Microscopic inflammation","Micro",TRIM(RISK进展队列GEO回末测序数据整理!I97)))</f>
        <v>Macro</v>
      </c>
      <c r="X98" s="22" t="str">
        <f>IF(RISK进展队列GEO回末测序数据整理!J97=1,"Yes",IF(RISK进展队列GEO回末测序数据整理!J97=0,"No","N/A"))</f>
        <v>Yes</v>
      </c>
      <c r="Y98" s="22">
        <f>IF(Q98="","",IF(COUNTIF($Q$3:Q98,Q98)=1,1,0))</f>
        <v>1</v>
      </c>
      <c r="Z98" s="22">
        <f>IF(Q98="","",IF(COUNTIFS($Q$3:Q98,Q98,$R$3:R98,R98)=1,1,0))</f>
        <v>1</v>
      </c>
    </row>
    <row r="99" spans="16:26" x14ac:dyDescent="0.4">
      <c r="P99" s="22" t="str">
        <f>RISK进展队列GEO回末测序数据整理!A98</f>
        <v>GSM1598504</v>
      </c>
      <c r="Q99" s="22" t="str">
        <f>RISK进展队列GEO回末测序数据整理!B98</f>
        <v>CCFA_Risk_097</v>
      </c>
      <c r="R99" s="22" t="str">
        <f>IF(LOWER(TRIM(RISK进展队列GEO回末测序数据整理!G98))="not ibd","Not IBD",TRIM(RISK进展队列GEO回末测序数据整理!G98))</f>
        <v>CD</v>
      </c>
      <c r="S99" s="22" t="str">
        <f>IF(LOWER(TRIM(RISK进展队列GEO回末测序数据整理!H98))="not ibd","Not IBD",TRIM(RISK进展队列GEO回末测序数据整理!H98))</f>
        <v>cCD</v>
      </c>
      <c r="T99" s="22" t="str">
        <f>IF(RISK进展队列GEO回末测序数据整理!D98="女","女性",IF(RISK进展队列GEO回末测序数据整理!D98="男","男性",TRIM(RISK进展队列GEO回末测序数据整理!D98)))</f>
        <v>女性</v>
      </c>
      <c r="U99" s="22">
        <f>RISK进展队列GEO回末测序数据整理!E98</f>
        <v>14.17</v>
      </c>
      <c r="V99" s="22" t="str">
        <f>RISK进展队列GEO回末测序数据整理!F98</f>
        <v>A1b</v>
      </c>
      <c r="W99" s="22" t="str">
        <f>IF(RISK进展队列GEO回末测序数据整理!I98="Macroscopic inflammation","Macro",IF(RISK进展队列GEO回末测序数据整理!I98="Microscopic inflammation","Micro",TRIM(RISK进展队列GEO回末测序数据整理!I98)))</f>
        <v>Micro</v>
      </c>
      <c r="X99" s="22" t="str">
        <f>IF(RISK进展队列GEO回末测序数据整理!J98=1,"Yes",IF(RISK进展队列GEO回末测序数据整理!J98=0,"No","N/A"))</f>
        <v>No</v>
      </c>
      <c r="Y99" s="22">
        <f>IF(Q99="","",IF(COUNTIF($Q$3:Q99,Q99)=1,1,0))</f>
        <v>1</v>
      </c>
      <c r="Z99" s="22">
        <f>IF(Q99="","",IF(COUNTIFS($Q$3:Q99,Q99,$R$3:R99,R99)=1,1,0))</f>
        <v>1</v>
      </c>
    </row>
    <row r="100" spans="16:26" x14ac:dyDescent="0.4">
      <c r="P100" s="22" t="str">
        <f>RISK进展队列GEO回末测序数据整理!A99</f>
        <v>GSM1598505</v>
      </c>
      <c r="Q100" s="22" t="str">
        <f>RISK进展队列GEO回末测序数据整理!B99</f>
        <v>CCFA_Risk_098</v>
      </c>
      <c r="R100" s="22" t="str">
        <f>IF(LOWER(TRIM(RISK进展队列GEO回末测序数据整理!G99))="not ibd","Not IBD",TRIM(RISK进展队列GEO回末测序数据整理!G99))</f>
        <v>CD</v>
      </c>
      <c r="S100" s="22" t="str">
        <f>IF(LOWER(TRIM(RISK进展队列GEO回末测序数据整理!H99))="not ibd","Not IBD",TRIM(RISK进展队列GEO回末测序数据整理!H99))</f>
        <v>iCD</v>
      </c>
      <c r="T100" s="22" t="str">
        <f>IF(RISK进展队列GEO回末测序数据整理!D99="女","女性",IF(RISK进展队列GEO回末测序数据整理!D99="男","男性",TRIM(RISK进展队列GEO回末测序数据整理!D99)))</f>
        <v>男性</v>
      </c>
      <c r="U100" s="22">
        <f>RISK进展队列GEO回末测序数据整理!E99</f>
        <v>14.83</v>
      </c>
      <c r="V100" s="22" t="str">
        <f>RISK进展队列GEO回末测序数据整理!F99</f>
        <v>A1b</v>
      </c>
      <c r="W100" s="22" t="str">
        <f>IF(RISK进展队列GEO回末测序数据整理!I99="Macroscopic inflammation","Macro",IF(RISK进展队列GEO回末测序数据整理!I99="Microscopic inflammation","Micro",TRIM(RISK进展队列GEO回末测序数据整理!I99)))</f>
        <v>Macro</v>
      </c>
      <c r="X100" s="22" t="str">
        <f>IF(RISK进展队列GEO回末测序数据整理!J99=1,"Yes",IF(RISK进展队列GEO回末测序数据整理!J99=0,"No","N/A"))</f>
        <v>Yes</v>
      </c>
      <c r="Y100" s="22">
        <f>IF(Q100="","",IF(COUNTIF($Q$3:Q100,Q100)=1,1,0))</f>
        <v>1</v>
      </c>
      <c r="Z100" s="22">
        <f>IF(Q100="","",IF(COUNTIFS($Q$3:Q100,Q100,$R$3:R100,R100)=1,1,0))</f>
        <v>1</v>
      </c>
    </row>
    <row r="101" spans="16:26" x14ac:dyDescent="0.4">
      <c r="P101" s="22" t="str">
        <f>RISK进展队列GEO回末测序数据整理!A100</f>
        <v>GSM1598506</v>
      </c>
      <c r="Q101" s="22" t="str">
        <f>RISK进展队列GEO回末测序数据整理!B100</f>
        <v>CCFA_Risk_099</v>
      </c>
      <c r="R101" s="22" t="str">
        <f>IF(LOWER(TRIM(RISK进展队列GEO回末测序数据整理!G100))="not ibd","Not IBD",TRIM(RISK进展队列GEO回末测序数据整理!G100))</f>
        <v>CD</v>
      </c>
      <c r="S101" s="22" t="str">
        <f>IF(LOWER(TRIM(RISK进展队列GEO回末测序数据整理!H100))="not ibd","Not IBD",TRIM(RISK进展队列GEO回末测序数据整理!H100))</f>
        <v>iCD</v>
      </c>
      <c r="T101" s="22" t="str">
        <f>IF(RISK进展队列GEO回末测序数据整理!D100="女","女性",IF(RISK进展队列GEO回末测序数据整理!D100="男","男性",TRIM(RISK进展队列GEO回末测序数据整理!D100)))</f>
        <v>女性</v>
      </c>
      <c r="U101" s="22">
        <f>RISK进展队列GEO回末测序数据整理!E100</f>
        <v>15.5</v>
      </c>
      <c r="V101" s="22" t="str">
        <f>RISK进展队列GEO回末测序数据整理!F100</f>
        <v>A1b</v>
      </c>
      <c r="W101" s="22" t="str">
        <f>IF(RISK进展队列GEO回末测序数据整理!I100="Macroscopic inflammation","Macro",IF(RISK进展队列GEO回末测序数据整理!I100="Microscopic inflammation","Micro",TRIM(RISK进展队列GEO回末测序数据整理!I100)))</f>
        <v>Macro</v>
      </c>
      <c r="X101" s="22" t="str">
        <f>IF(RISK进展队列GEO回末测序数据整理!J100=1,"Yes",IF(RISK进展队列GEO回末测序数据整理!J100=0,"No","N/A"))</f>
        <v>Yes</v>
      </c>
      <c r="Y101" s="22">
        <f>IF(Q101="","",IF(COUNTIF($Q$3:Q101,Q101)=1,1,0))</f>
        <v>1</v>
      </c>
      <c r="Z101" s="22">
        <f>IF(Q101="","",IF(COUNTIFS($Q$3:Q101,Q101,$R$3:R101,R101)=1,1,0))</f>
        <v>1</v>
      </c>
    </row>
    <row r="102" spans="16:26" x14ac:dyDescent="0.4">
      <c r="P102" s="22" t="str">
        <f>RISK进展队列GEO回末测序数据整理!A101</f>
        <v>GSM1598507</v>
      </c>
      <c r="Q102" s="22" t="str">
        <f>RISK进展队列GEO回末测序数据整理!B101</f>
        <v>CCFA_Risk_100</v>
      </c>
      <c r="R102" s="22" t="str">
        <f>IF(LOWER(TRIM(RISK进展队列GEO回末测序数据整理!G101))="not ibd","Not IBD",TRIM(RISK进展队列GEO回末测序数据整理!G101))</f>
        <v>CD</v>
      </c>
      <c r="S102" s="22" t="str">
        <f>IF(LOWER(TRIM(RISK进展队列GEO回末测序数据整理!H101))="not ibd","Not IBD",TRIM(RISK进展队列GEO回末测序数据整理!H101))</f>
        <v>cCD</v>
      </c>
      <c r="T102" s="22" t="str">
        <f>IF(RISK进展队列GEO回末测序数据整理!D101="女","女性",IF(RISK进展队列GEO回末测序数据整理!D101="男","男性",TRIM(RISK进展队列GEO回末测序数据整理!D101)))</f>
        <v>女性</v>
      </c>
      <c r="U102" s="22">
        <f>RISK进展队列GEO回末测序数据整理!E101</f>
        <v>12.83</v>
      </c>
      <c r="V102" s="22" t="str">
        <f>RISK进展队列GEO回末测序数据整理!F101</f>
        <v>A1b</v>
      </c>
      <c r="W102" s="22" t="str">
        <f>IF(RISK进展队列GEO回末测序数据整理!I101="Macroscopic inflammation","Macro",IF(RISK进展队列GEO回末测序数据整理!I101="Microscopic inflammation","Micro",TRIM(RISK进展队列GEO回末测序数据整理!I101)))</f>
        <v>Normal</v>
      </c>
      <c r="X102" s="22" t="str">
        <f>IF(RISK进展队列GEO回末测序数据整理!J101=1,"Yes",IF(RISK进展队列GEO回末测序数据整理!J101=0,"No","N/A"))</f>
        <v>No</v>
      </c>
      <c r="Y102" s="22">
        <f>IF(Q102="","",IF(COUNTIF($Q$3:Q102,Q102)=1,1,0))</f>
        <v>1</v>
      </c>
      <c r="Z102" s="22">
        <f>IF(Q102="","",IF(COUNTIFS($Q$3:Q102,Q102,$R$3:R102,R102)=1,1,0))</f>
        <v>1</v>
      </c>
    </row>
    <row r="103" spans="16:26" x14ac:dyDescent="0.4">
      <c r="P103" s="22" t="str">
        <f>RISK进展队列GEO回末测序数据整理!A102</f>
        <v>GSM1598508</v>
      </c>
      <c r="Q103" s="22" t="str">
        <f>RISK进展队列GEO回末测序数据整理!B102</f>
        <v>CCFA_Risk_101</v>
      </c>
      <c r="R103" s="22" t="str">
        <f>IF(LOWER(TRIM(RISK进展队列GEO回末测序数据整理!G102))="not ibd","Not IBD",TRIM(RISK进展队列GEO回末测序数据整理!G102))</f>
        <v>CD</v>
      </c>
      <c r="S103" s="22" t="str">
        <f>IF(LOWER(TRIM(RISK进展队列GEO回末测序数据整理!H102))="not ibd","Not IBD",TRIM(RISK进展队列GEO回末测序数据整理!H102))</f>
        <v>cCD</v>
      </c>
      <c r="T103" s="22" t="str">
        <f>IF(RISK进展队列GEO回末测序数据整理!D102="女","女性",IF(RISK进展队列GEO回末测序数据整理!D102="男","男性",TRIM(RISK进展队列GEO回末测序数据整理!D102)))</f>
        <v>女性</v>
      </c>
      <c r="U103" s="22">
        <f>RISK进展队列GEO回末测序数据整理!E102</f>
        <v>2.25</v>
      </c>
      <c r="V103" s="22" t="str">
        <f>RISK进展队列GEO回末测序数据整理!F102</f>
        <v>A1a</v>
      </c>
      <c r="W103" s="22" t="str">
        <f>IF(RISK进展队列GEO回末测序数据整理!I102="Macroscopic inflammation","Macro",IF(RISK进展队列GEO回末测序数据整理!I102="Microscopic inflammation","Micro",TRIM(RISK进展队列GEO回末测序数据整理!I102)))</f>
        <v>Micro</v>
      </c>
      <c r="X103" s="22" t="str">
        <f>IF(RISK进展队列GEO回末测序数据整理!J102=1,"Yes",IF(RISK进展队列GEO回末测序数据整理!J102=0,"No","N/A"))</f>
        <v>No</v>
      </c>
      <c r="Y103" s="22">
        <f>IF(Q103="","",IF(COUNTIF($Q$3:Q103,Q103)=1,1,0))</f>
        <v>1</v>
      </c>
      <c r="Z103" s="22">
        <f>IF(Q103="","",IF(COUNTIFS($Q$3:Q103,Q103,$R$3:R103,R103)=1,1,0))</f>
        <v>1</v>
      </c>
    </row>
    <row r="104" spans="16:26" x14ac:dyDescent="0.4">
      <c r="P104" s="22" t="str">
        <f>RISK进展队列GEO回末测序数据整理!A103</f>
        <v>GSM1598509</v>
      </c>
      <c r="Q104" s="22" t="str">
        <f>RISK进展队列GEO回末测序数据整理!B103</f>
        <v>CCFA_Risk_102</v>
      </c>
      <c r="R104" s="22" t="str">
        <f>IF(LOWER(TRIM(RISK进展队列GEO回末测序数据整理!G103))="not ibd","Not IBD",TRIM(RISK进展队列GEO回末测序数据整理!G103))</f>
        <v>CD</v>
      </c>
      <c r="S104" s="22" t="str">
        <f>IF(LOWER(TRIM(RISK进展队列GEO回末测序数据整理!H103))="not ibd","Not IBD",TRIM(RISK进展队列GEO回末测序数据整理!H103))</f>
        <v>cCD</v>
      </c>
      <c r="T104" s="22" t="str">
        <f>IF(RISK进展队列GEO回末测序数据整理!D103="女","女性",IF(RISK进展队列GEO回末测序数据整理!D103="男","男性",TRIM(RISK进展队列GEO回末测序数据整理!D103)))</f>
        <v>女性</v>
      </c>
      <c r="U104" s="22">
        <f>RISK进展队列GEO回末测序数据整理!E103</f>
        <v>11.58</v>
      </c>
      <c r="V104" s="22" t="str">
        <f>RISK进展队列GEO回末测序数据整理!F103</f>
        <v>A1b</v>
      </c>
      <c r="W104" s="22" t="str">
        <f>IF(RISK进展队列GEO回末测序数据整理!I103="Macroscopic inflammation","Macro",IF(RISK进展队列GEO回末测序数据整理!I103="Microscopic inflammation","Micro",TRIM(RISK进展队列GEO回末测序数据整理!I103)))</f>
        <v>Undetermined</v>
      </c>
      <c r="X104" s="22" t="str">
        <f>IF(RISK进展队列GEO回末测序数据整理!J103=1,"Yes",IF(RISK进展队列GEO回末测序数据整理!J103=0,"No","N/A"))</f>
        <v>No</v>
      </c>
      <c r="Y104" s="22">
        <f>IF(Q104="","",IF(COUNTIF($Q$3:Q104,Q104)=1,1,0))</f>
        <v>1</v>
      </c>
      <c r="Z104" s="22">
        <f>IF(Q104="","",IF(COUNTIFS($Q$3:Q104,Q104,$R$3:R104,R104)=1,1,0))</f>
        <v>1</v>
      </c>
    </row>
    <row r="105" spans="16:26" x14ac:dyDescent="0.4">
      <c r="P105" s="22" t="str">
        <f>RISK进展队列GEO回末测序数据整理!A104</f>
        <v>GSM1598510</v>
      </c>
      <c r="Q105" s="22" t="str">
        <f>RISK进展队列GEO回末测序数据整理!B104</f>
        <v>CCFA_Risk_103</v>
      </c>
      <c r="R105" s="22" t="str">
        <f>IF(LOWER(TRIM(RISK进展队列GEO回末测序数据整理!G104))="not ibd","Not IBD",TRIM(RISK进展队列GEO回末测序数据整理!G104))</f>
        <v>CD</v>
      </c>
      <c r="S105" s="22" t="str">
        <f>IF(LOWER(TRIM(RISK进展队列GEO回末测序数据整理!H104))="not ibd","Not IBD",TRIM(RISK进展队列GEO回末测序数据整理!H104))</f>
        <v>cCD</v>
      </c>
      <c r="T105" s="22" t="str">
        <f>IF(RISK进展队列GEO回末测序数据整理!D104="女","女性",IF(RISK进展队列GEO回末测序数据整理!D104="男","男性",TRIM(RISK进展队列GEO回末测序数据整理!D104)))</f>
        <v>男性</v>
      </c>
      <c r="U105" s="22">
        <f>RISK进展队列GEO回末测序数据整理!E104</f>
        <v>14.83</v>
      </c>
      <c r="V105" s="22" t="str">
        <f>RISK进展队列GEO回末测序数据整理!F104</f>
        <v>A1b</v>
      </c>
      <c r="W105" s="22" t="str">
        <f>IF(RISK进展队列GEO回末测序数据整理!I104="Macroscopic inflammation","Macro",IF(RISK进展队列GEO回末测序数据整理!I104="Microscopic inflammation","Micro",TRIM(RISK进展队列GEO回末测序数据整理!I104)))</f>
        <v>Micro</v>
      </c>
      <c r="X105" s="22" t="str">
        <f>IF(RISK进展队列GEO回末测序数据整理!J104=1,"Yes",IF(RISK进展队列GEO回末测序数据整理!J104=0,"No","N/A"))</f>
        <v>No</v>
      </c>
      <c r="Y105" s="22">
        <f>IF(Q105="","",IF(COUNTIF($Q$3:Q105,Q105)=1,1,0))</f>
        <v>1</v>
      </c>
      <c r="Z105" s="22">
        <f>IF(Q105="","",IF(COUNTIFS($Q$3:Q105,Q105,$R$3:R105,R105)=1,1,0))</f>
        <v>1</v>
      </c>
    </row>
    <row r="106" spans="16:26" x14ac:dyDescent="0.4">
      <c r="P106" s="22" t="str">
        <f>RISK进展队列GEO回末测序数据整理!A105</f>
        <v>GSM1598511</v>
      </c>
      <c r="Q106" s="22" t="str">
        <f>RISK进展队列GEO回末测序数据整理!B105</f>
        <v>CCFA_Risk_104</v>
      </c>
      <c r="R106" s="22" t="str">
        <f>IF(LOWER(TRIM(RISK进展队列GEO回末测序数据整理!G105))="not ibd","Not IBD",TRIM(RISK进展队列GEO回末测序数据整理!G105))</f>
        <v>CD</v>
      </c>
      <c r="S106" s="22" t="str">
        <f>IF(LOWER(TRIM(RISK进展队列GEO回末测序数据整理!H105))="not ibd","Not IBD",TRIM(RISK进展队列GEO回末测序数据整理!H105))</f>
        <v>cCD</v>
      </c>
      <c r="T106" s="22" t="str">
        <f>IF(RISK进展队列GEO回末测序数据整理!D105="女","女性",IF(RISK进展队列GEO回末测序数据整理!D105="男","男性",TRIM(RISK进展队列GEO回末测序数据整理!D105)))</f>
        <v>男性</v>
      </c>
      <c r="U106" s="22">
        <f>RISK进展队列GEO回末测序数据整理!E105</f>
        <v>14.08</v>
      </c>
      <c r="V106" s="22" t="str">
        <f>RISK进展队列GEO回末测序数据整理!F105</f>
        <v>A1b</v>
      </c>
      <c r="W106" s="22" t="str">
        <f>IF(RISK进展队列GEO回末测序数据整理!I105="Macroscopic inflammation","Macro",IF(RISK进展队列GEO回末测序数据整理!I105="Microscopic inflammation","Micro",TRIM(RISK进展队列GEO回末测序数据整理!I105)))</f>
        <v>Undetermined</v>
      </c>
      <c r="X106" s="22" t="str">
        <f>IF(RISK进展队列GEO回末测序数据整理!J105=1,"Yes",IF(RISK进展队列GEO回末测序数据整理!J105=0,"No","N/A"))</f>
        <v>No</v>
      </c>
      <c r="Y106" s="22">
        <f>IF(Q106="","",IF(COUNTIF($Q$3:Q106,Q106)=1,1,0))</f>
        <v>1</v>
      </c>
      <c r="Z106" s="22">
        <f>IF(Q106="","",IF(COUNTIFS($Q$3:Q106,Q106,$R$3:R106,R106)=1,1,0))</f>
        <v>1</v>
      </c>
    </row>
    <row r="107" spans="16:26" x14ac:dyDescent="0.4">
      <c r="P107" s="22" t="str">
        <f>RISK进展队列GEO回末测序数据整理!A106</f>
        <v>GSM1598512</v>
      </c>
      <c r="Q107" s="22" t="str">
        <f>RISK进展队列GEO回末测序数据整理!B106</f>
        <v>CCFA_Risk_105</v>
      </c>
      <c r="R107" s="22" t="str">
        <f>IF(LOWER(TRIM(RISK进展队列GEO回末测序数据整理!G106))="not ibd","Not IBD",TRIM(RISK进展队列GEO回末测序数据整理!G106))</f>
        <v>CD</v>
      </c>
      <c r="S107" s="22" t="str">
        <f>IF(LOWER(TRIM(RISK进展队列GEO回末测序数据整理!H106))="not ibd","Not IBD",TRIM(RISK进展队列GEO回末测序数据整理!H106))</f>
        <v>iCD</v>
      </c>
      <c r="T107" s="22" t="str">
        <f>IF(RISK进展队列GEO回末测序数据整理!D106="女","女性",IF(RISK进展队列GEO回末测序数据整理!D106="男","男性",TRIM(RISK进展队列GEO回末测序数据整理!D106)))</f>
        <v>男性</v>
      </c>
      <c r="U107" s="22">
        <f>RISK进展队列GEO回末测序数据整理!E106</f>
        <v>15.92</v>
      </c>
      <c r="V107" s="22" t="str">
        <f>RISK进展队列GEO回末测序数据整理!F106</f>
        <v>A1b</v>
      </c>
      <c r="W107" s="22" t="str">
        <f>IF(RISK进展队列GEO回末测序数据整理!I106="Macroscopic inflammation","Macro",IF(RISK进展队列GEO回末测序数据整理!I106="Microscopic inflammation","Micro",TRIM(RISK进展队列GEO回末测序数据整理!I106)))</f>
        <v>Macro</v>
      </c>
      <c r="X107" s="22" t="str">
        <f>IF(RISK进展队列GEO回末测序数据整理!J106=1,"Yes",IF(RISK进展队列GEO回末测序数据整理!J106=0,"No","N/A"))</f>
        <v>No</v>
      </c>
      <c r="Y107" s="22">
        <f>IF(Q107="","",IF(COUNTIF($Q$3:Q107,Q107)=1,1,0))</f>
        <v>1</v>
      </c>
      <c r="Z107" s="22">
        <f>IF(Q107="","",IF(COUNTIFS($Q$3:Q107,Q107,$R$3:R107,R107)=1,1,0))</f>
        <v>1</v>
      </c>
    </row>
    <row r="108" spans="16:26" x14ac:dyDescent="0.4">
      <c r="P108" s="22" t="str">
        <f>RISK进展队列GEO回末测序数据整理!A107</f>
        <v>GSM1598513</v>
      </c>
      <c r="Q108" s="22" t="str">
        <f>RISK进展队列GEO回末测序数据整理!B107</f>
        <v>CCFA_Risk_106</v>
      </c>
      <c r="R108" s="22" t="str">
        <f>IF(LOWER(TRIM(RISK进展队列GEO回末测序数据整理!G107))="not ibd","Not IBD",TRIM(RISK进展队列GEO回末测序数据整理!G107))</f>
        <v>CD</v>
      </c>
      <c r="S108" s="22" t="str">
        <f>IF(LOWER(TRIM(RISK进展队列GEO回末测序数据整理!H107))="not ibd","Not IBD",TRIM(RISK进展队列GEO回末测序数据整理!H107))</f>
        <v>iCD</v>
      </c>
      <c r="T108" s="22" t="str">
        <f>IF(RISK进展队列GEO回末测序数据整理!D107="女","女性",IF(RISK进展队列GEO回末测序数据整理!D107="男","男性",TRIM(RISK进展队列GEO回末测序数据整理!D107)))</f>
        <v>女性</v>
      </c>
      <c r="U108" s="22">
        <f>RISK进展队列GEO回末测序数据整理!E107</f>
        <v>13.17</v>
      </c>
      <c r="V108" s="22" t="str">
        <f>RISK进展队列GEO回末测序数据整理!F107</f>
        <v>A1b</v>
      </c>
      <c r="W108" s="22" t="str">
        <f>IF(RISK进展队列GEO回末测序数据整理!I107="Macroscopic inflammation","Macro",IF(RISK进展队列GEO回末测序数据整理!I107="Microscopic inflammation","Micro",TRIM(RISK进展队列GEO回末测序数据整理!I107)))</f>
        <v>Macro</v>
      </c>
      <c r="X108" s="22" t="str">
        <f>IF(RISK进展队列GEO回末测序数据整理!J107=1,"Yes",IF(RISK进展队列GEO回末测序数据整理!J107=0,"No","N/A"))</f>
        <v>Yes</v>
      </c>
      <c r="Y108" s="22">
        <f>IF(Q108="","",IF(COUNTIF($Q$3:Q108,Q108)=1,1,0))</f>
        <v>1</v>
      </c>
      <c r="Z108" s="22">
        <f>IF(Q108="","",IF(COUNTIFS($Q$3:Q108,Q108,$R$3:R108,R108)=1,1,0))</f>
        <v>1</v>
      </c>
    </row>
    <row r="109" spans="16:26" x14ac:dyDescent="0.4">
      <c r="P109" s="22" t="str">
        <f>RISK进展队列GEO回末测序数据整理!A108</f>
        <v>GSM1598514</v>
      </c>
      <c r="Q109" s="22" t="str">
        <f>RISK进展队列GEO回末测序数据整理!B108</f>
        <v>CCFA_Risk_107</v>
      </c>
      <c r="R109" s="22" t="str">
        <f>IF(LOWER(TRIM(RISK进展队列GEO回末测序数据整理!G108))="not ibd","Not IBD",TRIM(RISK进展队列GEO回末测序数据整理!G108))</f>
        <v>CD</v>
      </c>
      <c r="S109" s="22" t="str">
        <f>IF(LOWER(TRIM(RISK进展队列GEO回末测序数据整理!H108))="not ibd","Not IBD",TRIM(RISK进展队列GEO回末测序数据整理!H108))</f>
        <v>iCD</v>
      </c>
      <c r="T109" s="22" t="str">
        <f>IF(RISK进展队列GEO回末测序数据整理!D108="女","女性",IF(RISK进展队列GEO回末测序数据整理!D108="男","男性",TRIM(RISK进展队列GEO回末测序数据整理!D108)))</f>
        <v>男性</v>
      </c>
      <c r="U109" s="22">
        <f>RISK进展队列GEO回末测序数据整理!E108</f>
        <v>15.75</v>
      </c>
      <c r="V109" s="22" t="str">
        <f>RISK进展队列GEO回末测序数据整理!F108</f>
        <v>A1b</v>
      </c>
      <c r="W109" s="22" t="str">
        <f>IF(RISK进展队列GEO回末测序数据整理!I108="Macroscopic inflammation","Macro",IF(RISK进展队列GEO回末测序数据整理!I108="Microscopic inflammation","Micro",TRIM(RISK进展队列GEO回末测序数据整理!I108)))</f>
        <v>Macro</v>
      </c>
      <c r="X109" s="22" t="str">
        <f>IF(RISK进展队列GEO回末测序数据整理!J108=1,"Yes",IF(RISK进展队列GEO回末测序数据整理!J108=0,"No","N/A"))</f>
        <v>No</v>
      </c>
      <c r="Y109" s="22">
        <f>IF(Q109="","",IF(COUNTIF($Q$3:Q109,Q109)=1,1,0))</f>
        <v>1</v>
      </c>
      <c r="Z109" s="22">
        <f>IF(Q109="","",IF(COUNTIFS($Q$3:Q109,Q109,$R$3:R109,R109)=1,1,0))</f>
        <v>1</v>
      </c>
    </row>
    <row r="110" spans="16:26" x14ac:dyDescent="0.4">
      <c r="P110" s="22" t="str">
        <f>RISK进展队列GEO回末测序数据整理!A109</f>
        <v>GSM1598515</v>
      </c>
      <c r="Q110" s="22" t="str">
        <f>RISK进展队列GEO回末测序数据整理!B109</f>
        <v>CCFA_Risk_108</v>
      </c>
      <c r="R110" s="22" t="str">
        <f>IF(LOWER(TRIM(RISK进展队列GEO回末测序数据整理!G109))="not ibd","Not IBD",TRIM(RISK进展队列GEO回末测序数据整理!G109))</f>
        <v>CD</v>
      </c>
      <c r="S110" s="22" t="str">
        <f>IF(LOWER(TRIM(RISK进展队列GEO回末测序数据整理!H109))="not ibd","Not IBD",TRIM(RISK进展队列GEO回末测序数据整理!H109))</f>
        <v>iCD</v>
      </c>
      <c r="T110" s="22" t="str">
        <f>IF(RISK进展队列GEO回末测序数据整理!D109="女","女性",IF(RISK进展队列GEO回末测序数据整理!D109="男","男性",TRIM(RISK进展队列GEO回末测序数据整理!D109)))</f>
        <v>男性</v>
      </c>
      <c r="U110" s="22">
        <f>RISK进展队列GEO回末测序数据整理!E109</f>
        <v>15</v>
      </c>
      <c r="V110" s="22" t="str">
        <f>RISK进展队列GEO回末测序数据整理!F109</f>
        <v>A1b</v>
      </c>
      <c r="W110" s="22" t="str">
        <f>IF(RISK进展队列GEO回末测序数据整理!I109="Macroscopic inflammation","Macro",IF(RISK进展队列GEO回末测序数据整理!I109="Microscopic inflammation","Micro",TRIM(RISK进展队列GEO回末测序数据整理!I109)))</f>
        <v>Macro</v>
      </c>
      <c r="X110" s="22" t="str">
        <f>IF(RISK进展队列GEO回末测序数据整理!J109=1,"Yes",IF(RISK进展队列GEO回末测序数据整理!J109=0,"No","N/A"))</f>
        <v>No</v>
      </c>
      <c r="Y110" s="22">
        <f>IF(Q110="","",IF(COUNTIF($Q$3:Q110,Q110)=1,1,0))</f>
        <v>1</v>
      </c>
      <c r="Z110" s="22">
        <f>IF(Q110="","",IF(COUNTIFS($Q$3:Q110,Q110,$R$3:R110,R110)=1,1,0))</f>
        <v>1</v>
      </c>
    </row>
    <row r="111" spans="16:26" x14ac:dyDescent="0.4">
      <c r="P111" s="22" t="str">
        <f>RISK进展队列GEO回末测序数据整理!A110</f>
        <v>GSM1598516</v>
      </c>
      <c r="Q111" s="22" t="str">
        <f>RISK进展队列GEO回末测序数据整理!B110</f>
        <v>CCFA_Risk_109</v>
      </c>
      <c r="R111" s="22" t="str">
        <f>IF(LOWER(TRIM(RISK进展队列GEO回末测序数据整理!G110))="not ibd","Not IBD",TRIM(RISK进展队列GEO回末测序数据整理!G110))</f>
        <v>CD</v>
      </c>
      <c r="S111" s="22" t="str">
        <f>IF(LOWER(TRIM(RISK进展队列GEO回末测序数据整理!H110))="not ibd","Not IBD",TRIM(RISK进展队列GEO回末测序数据整理!H110))</f>
        <v>iCD</v>
      </c>
      <c r="T111" s="22" t="str">
        <f>IF(RISK进展队列GEO回末测序数据整理!D110="女","女性",IF(RISK进展队列GEO回末测序数据整理!D110="男","男性",TRIM(RISK进展队列GEO回末测序数据整理!D110)))</f>
        <v>男性</v>
      </c>
      <c r="U111" s="22">
        <f>RISK进展队列GEO回末测序数据整理!E110</f>
        <v>13.58</v>
      </c>
      <c r="V111" s="22" t="str">
        <f>RISK进展队列GEO回末测序数据整理!F110</f>
        <v>A1b</v>
      </c>
      <c r="W111" s="22" t="str">
        <f>IF(RISK进展队列GEO回末测序数据整理!I110="Macroscopic inflammation","Macro",IF(RISK进展队列GEO回末测序数据整理!I110="Microscopic inflammation","Micro",TRIM(RISK进展队列GEO回末测序数据整理!I110)))</f>
        <v>Macro</v>
      </c>
      <c r="X111" s="22" t="str">
        <f>IF(RISK进展队列GEO回末测序数据整理!J110=1,"Yes",IF(RISK进展队列GEO回末测序数据整理!J110=0,"No","N/A"))</f>
        <v>Yes</v>
      </c>
      <c r="Y111" s="22">
        <f>IF(Q111="","",IF(COUNTIF($Q$3:Q111,Q111)=1,1,0))</f>
        <v>1</v>
      </c>
      <c r="Z111" s="22">
        <f>IF(Q111="","",IF(COUNTIFS($Q$3:Q111,Q111,$R$3:R111,R111)=1,1,0))</f>
        <v>1</v>
      </c>
    </row>
    <row r="112" spans="16:26" x14ac:dyDescent="0.4">
      <c r="P112" s="22" t="str">
        <f>RISK进展队列GEO回末测序数据整理!A111</f>
        <v>GSM1598517</v>
      </c>
      <c r="Q112" s="22" t="str">
        <f>RISK进展队列GEO回末测序数据整理!B111</f>
        <v>CCFA_Risk_110</v>
      </c>
      <c r="R112" s="22" t="str">
        <f>IF(LOWER(TRIM(RISK进展队列GEO回末测序数据整理!G111))="not ibd","Not IBD",TRIM(RISK进展队列GEO回末测序数据整理!G111))</f>
        <v>CD</v>
      </c>
      <c r="S112" s="22" t="str">
        <f>IF(LOWER(TRIM(RISK进展队列GEO回末测序数据整理!H111))="not ibd","Not IBD",TRIM(RISK进展队列GEO回末测序数据整理!H111))</f>
        <v>iCD</v>
      </c>
      <c r="T112" s="22" t="str">
        <f>IF(RISK进展队列GEO回末测序数据整理!D111="女","女性",IF(RISK进展队列GEO回末测序数据整理!D111="男","男性",TRIM(RISK进展队列GEO回末测序数据整理!D111)))</f>
        <v>男性</v>
      </c>
      <c r="U112" s="22">
        <f>RISK进展队列GEO回末测序数据整理!E111</f>
        <v>11.33</v>
      </c>
      <c r="V112" s="22" t="str">
        <f>RISK进展队列GEO回末测序数据整理!F111</f>
        <v>A1b</v>
      </c>
      <c r="W112" s="22" t="str">
        <f>IF(RISK进展队列GEO回末测序数据整理!I111="Macroscopic inflammation","Macro",IF(RISK进展队列GEO回末测序数据整理!I111="Microscopic inflammation","Micro",TRIM(RISK进展队列GEO回末测序数据整理!I111)))</f>
        <v>Macro</v>
      </c>
      <c r="X112" s="22" t="str">
        <f>IF(RISK进展队列GEO回末测序数据整理!J111=1,"Yes",IF(RISK进展队列GEO回末测序数据整理!J111=0,"No","N/A"))</f>
        <v>No</v>
      </c>
      <c r="Y112" s="22">
        <f>IF(Q112="","",IF(COUNTIF($Q$3:Q112,Q112)=1,1,0))</f>
        <v>1</v>
      </c>
      <c r="Z112" s="22">
        <f>IF(Q112="","",IF(COUNTIFS($Q$3:Q112,Q112,$R$3:R112,R112)=1,1,0))</f>
        <v>1</v>
      </c>
    </row>
    <row r="113" spans="16:26" x14ac:dyDescent="0.4">
      <c r="P113" s="22" t="str">
        <f>RISK进展队列GEO回末测序数据整理!A112</f>
        <v>GSM1598518</v>
      </c>
      <c r="Q113" s="22" t="str">
        <f>RISK进展队列GEO回末测序数据整理!B112</f>
        <v>CCFA_Risk_111</v>
      </c>
      <c r="R113" s="22" t="str">
        <f>IF(LOWER(TRIM(RISK进展队列GEO回末测序数据整理!G112))="not ibd","Not IBD",TRIM(RISK进展队列GEO回末测序数据整理!G112))</f>
        <v>CD</v>
      </c>
      <c r="S113" s="22" t="str">
        <f>IF(LOWER(TRIM(RISK进展队列GEO回末测序数据整理!H112))="not ibd","Not IBD",TRIM(RISK进展队列GEO回末测序数据整理!H112))</f>
        <v>iCD</v>
      </c>
      <c r="T113" s="22" t="str">
        <f>IF(RISK进展队列GEO回末测序数据整理!D112="女","女性",IF(RISK进展队列GEO回末测序数据整理!D112="男","男性",TRIM(RISK进展队列GEO回末测序数据整理!D112)))</f>
        <v>男性</v>
      </c>
      <c r="U113" s="22">
        <f>RISK进展队列GEO回末测序数据整理!E112</f>
        <v>14.5</v>
      </c>
      <c r="V113" s="22" t="str">
        <f>RISK进展队列GEO回末测序数据整理!F112</f>
        <v>A1b</v>
      </c>
      <c r="W113" s="22" t="str">
        <f>IF(RISK进展队列GEO回末测序数据整理!I112="Macroscopic inflammation","Macro",IF(RISK进展队列GEO回末测序数据整理!I112="Microscopic inflammation","Micro",TRIM(RISK进展队列GEO回末测序数据整理!I112)))</f>
        <v>Macro</v>
      </c>
      <c r="X113" s="22" t="str">
        <f>IF(RISK进展队列GEO回末测序数据整理!J112=1,"Yes",IF(RISK进展队列GEO回末测序数据整理!J112=0,"No","N/A"))</f>
        <v>No</v>
      </c>
      <c r="Y113" s="22">
        <f>IF(Q113="","",IF(COUNTIF($Q$3:Q113,Q113)=1,1,0))</f>
        <v>1</v>
      </c>
      <c r="Z113" s="22">
        <f>IF(Q113="","",IF(COUNTIFS($Q$3:Q113,Q113,$R$3:R113,R113)=1,1,0))</f>
        <v>1</v>
      </c>
    </row>
    <row r="114" spans="16:26" x14ac:dyDescent="0.4">
      <c r="P114" s="22" t="str">
        <f>RISK进展队列GEO回末测序数据整理!A113</f>
        <v>GSM1598519</v>
      </c>
      <c r="Q114" s="22" t="str">
        <f>RISK进展队列GEO回末测序数据整理!B113</f>
        <v>CCFA_Risk_112</v>
      </c>
      <c r="R114" s="22" t="str">
        <f>IF(LOWER(TRIM(RISK进展队列GEO回末测序数据整理!G113))="not ibd","Not IBD",TRIM(RISK进展队列GEO回末测序数据整理!G113))</f>
        <v>CD</v>
      </c>
      <c r="S114" s="22" t="str">
        <f>IF(LOWER(TRIM(RISK进展队列GEO回末测序数据整理!H113))="not ibd","Not IBD",TRIM(RISK进展队列GEO回末测序数据整理!H113))</f>
        <v>iCD</v>
      </c>
      <c r="T114" s="22" t="str">
        <f>IF(RISK进展队列GEO回末测序数据整理!D113="女","女性",IF(RISK进展队列GEO回末测序数据整理!D113="男","男性",TRIM(RISK进展队列GEO回末测序数据整理!D113)))</f>
        <v>女性</v>
      </c>
      <c r="U114" s="22">
        <f>RISK进展队列GEO回末测序数据整理!E113</f>
        <v>14.33</v>
      </c>
      <c r="V114" s="22" t="str">
        <f>RISK进展队列GEO回末测序数据整理!F113</f>
        <v>A1b</v>
      </c>
      <c r="W114" s="22" t="str">
        <f>IF(RISK进展队列GEO回末测序数据整理!I113="Macroscopic inflammation","Macro",IF(RISK进展队列GEO回末测序数据整理!I113="Microscopic inflammation","Micro",TRIM(RISK进展队列GEO回末测序数据整理!I113)))</f>
        <v>Macro</v>
      </c>
      <c r="X114" s="22" t="str">
        <f>IF(RISK进展队列GEO回末测序数据整理!J113=1,"Yes",IF(RISK进展队列GEO回末测序数据整理!J113=0,"No","N/A"))</f>
        <v>No</v>
      </c>
      <c r="Y114" s="22">
        <f>IF(Q114="","",IF(COUNTIF($Q$3:Q114,Q114)=1,1,0))</f>
        <v>1</v>
      </c>
      <c r="Z114" s="22">
        <f>IF(Q114="","",IF(COUNTIFS($Q$3:Q114,Q114,$R$3:R114,R114)=1,1,0))</f>
        <v>1</v>
      </c>
    </row>
    <row r="115" spans="16:26" x14ac:dyDescent="0.4">
      <c r="P115" s="22" t="str">
        <f>RISK进展队列GEO回末测序数据整理!A114</f>
        <v>GSM1598520</v>
      </c>
      <c r="Q115" s="22" t="str">
        <f>RISK进展队列GEO回末测序数据整理!B114</f>
        <v>CCFA_Risk_113</v>
      </c>
      <c r="R115" s="22" t="str">
        <f>IF(LOWER(TRIM(RISK进展队列GEO回末测序数据整理!G114))="not ibd","Not IBD",TRIM(RISK进展队列GEO回末测序数据整理!G114))</f>
        <v>CD</v>
      </c>
      <c r="S115" s="22" t="str">
        <f>IF(LOWER(TRIM(RISK进展队列GEO回末测序数据整理!H114))="not ibd","Not IBD",TRIM(RISK进展队列GEO回末测序数据整理!H114))</f>
        <v>iCD</v>
      </c>
      <c r="T115" s="22" t="str">
        <f>IF(RISK进展队列GEO回末测序数据整理!D114="女","女性",IF(RISK进展队列GEO回末测序数据整理!D114="男","男性",TRIM(RISK进展队列GEO回末测序数据整理!D114)))</f>
        <v>女性</v>
      </c>
      <c r="U115" s="22">
        <f>RISK进展队列GEO回末测序数据整理!E114</f>
        <v>13.42</v>
      </c>
      <c r="V115" s="22" t="str">
        <f>RISK进展队列GEO回末测序数据整理!F114</f>
        <v>A1b</v>
      </c>
      <c r="W115" s="22" t="str">
        <f>IF(RISK进展队列GEO回末测序数据整理!I114="Macroscopic inflammation","Macro",IF(RISK进展队列GEO回末测序数据整理!I114="Microscopic inflammation","Micro",TRIM(RISK进展队列GEO回末测序数据整理!I114)))</f>
        <v>Macro</v>
      </c>
      <c r="X115" s="22" t="str">
        <f>IF(RISK进展队列GEO回末测序数据整理!J114=1,"Yes",IF(RISK进展队列GEO回末测序数据整理!J114=0,"No","N/A"))</f>
        <v>No</v>
      </c>
      <c r="Y115" s="22">
        <f>IF(Q115="","",IF(COUNTIF($Q$3:Q115,Q115)=1,1,0))</f>
        <v>1</v>
      </c>
      <c r="Z115" s="22">
        <f>IF(Q115="","",IF(COUNTIFS($Q$3:Q115,Q115,$R$3:R115,R115)=1,1,0))</f>
        <v>1</v>
      </c>
    </row>
    <row r="116" spans="16:26" x14ac:dyDescent="0.4">
      <c r="P116" s="22" t="str">
        <f>RISK进展队列GEO回末测序数据整理!A115</f>
        <v>GSM1598521</v>
      </c>
      <c r="Q116" s="22" t="str">
        <f>RISK进展队列GEO回末测序数据整理!B115</f>
        <v>CCFA_Risk_114</v>
      </c>
      <c r="R116" s="22" t="str">
        <f>IF(LOWER(TRIM(RISK进展队列GEO回末测序数据整理!G115))="not ibd","Not IBD",TRIM(RISK进展队列GEO回末测序数据整理!G115))</f>
        <v>UC</v>
      </c>
      <c r="S116" s="22" t="str">
        <f>IF(LOWER(TRIM(RISK进展队列GEO回末测序数据整理!H115))="not ibd","Not IBD",TRIM(RISK进展队列GEO回末测序数据整理!H115))</f>
        <v>UC</v>
      </c>
      <c r="T116" s="22" t="str">
        <f>IF(RISK进展队列GEO回末测序数据整理!D115="女","女性",IF(RISK进展队列GEO回末测序数据整理!D115="男","男性",TRIM(RISK进展队列GEO回末测序数据整理!D115)))</f>
        <v>男性</v>
      </c>
      <c r="U116" s="22">
        <f>RISK进展队列GEO回末测序数据整理!E115</f>
        <v>9.92</v>
      </c>
      <c r="V116" s="22" t="str">
        <f>RISK进展队列GEO回末测序数据整理!F115</f>
        <v>A1a</v>
      </c>
      <c r="W116" s="22" t="str">
        <f>IF(RISK进展队列GEO回末测序数据整理!I115="Macroscopic inflammation","Macro",IF(RISK进展队列GEO回末测序数据整理!I115="Microscopic inflammation","Micro",TRIM(RISK进展队列GEO回末测序数据整理!I115)))</f>
        <v>NA</v>
      </c>
      <c r="X116" s="22" t="str">
        <f>IF(RISK进展队列GEO回末测序数据整理!J115=1,"Yes",IF(RISK进展队列GEO回末测序数据整理!J115=0,"No","N/A"))</f>
        <v>N/A</v>
      </c>
      <c r="Y116" s="22">
        <f>IF(Q116="","",IF(COUNTIF($Q$3:Q116,Q116)=1,1,0))</f>
        <v>1</v>
      </c>
      <c r="Z116" s="22">
        <f>IF(Q116="","",IF(COUNTIFS($Q$3:Q116,Q116,$R$3:R116,R116)=1,1,0))</f>
        <v>1</v>
      </c>
    </row>
    <row r="117" spans="16:26" x14ac:dyDescent="0.4">
      <c r="P117" s="22" t="str">
        <f>RISK进展队列GEO回末测序数据整理!A116</f>
        <v>GSM1598522</v>
      </c>
      <c r="Q117" s="22" t="str">
        <f>RISK进展队列GEO回末测序数据整理!B116</f>
        <v>CCFA_Risk_115</v>
      </c>
      <c r="R117" s="22" t="str">
        <f>IF(LOWER(TRIM(RISK进展队列GEO回末测序数据整理!G116))="not ibd","Not IBD",TRIM(RISK进展队列GEO回末测序数据整理!G116))</f>
        <v>CD</v>
      </c>
      <c r="S117" s="22" t="str">
        <f>IF(LOWER(TRIM(RISK进展队列GEO回末测序数据整理!H116))="not ibd","Not IBD",TRIM(RISK进展队列GEO回末测序数据整理!H116))</f>
        <v>iCD</v>
      </c>
      <c r="T117" s="22" t="str">
        <f>IF(RISK进展队列GEO回末测序数据整理!D116="女","女性",IF(RISK进展队列GEO回末测序数据整理!D116="男","男性",TRIM(RISK进展队列GEO回末测序数据整理!D116)))</f>
        <v>女性</v>
      </c>
      <c r="U117" s="22">
        <f>RISK进展队列GEO回末测序数据整理!E116</f>
        <v>14.08</v>
      </c>
      <c r="V117" s="22" t="str">
        <f>RISK进展队列GEO回末测序数据整理!F116</f>
        <v>A1b</v>
      </c>
      <c r="W117" s="22" t="str">
        <f>IF(RISK进展队列GEO回末测序数据整理!I116="Macroscopic inflammation","Macro",IF(RISK进展队列GEO回末测序数据整理!I116="Microscopic inflammation","Micro",TRIM(RISK进展队列GEO回末测序数据整理!I116)))</f>
        <v>Macro</v>
      </c>
      <c r="X117" s="22" t="str">
        <f>IF(RISK进展队列GEO回末测序数据整理!J116=1,"Yes",IF(RISK进展队列GEO回末测序数据整理!J116=0,"No","N/A"))</f>
        <v>No</v>
      </c>
      <c r="Y117" s="22">
        <f>IF(Q117="","",IF(COUNTIF($Q$3:Q117,Q117)=1,1,0))</f>
        <v>1</v>
      </c>
      <c r="Z117" s="22">
        <f>IF(Q117="","",IF(COUNTIFS($Q$3:Q117,Q117,$R$3:R117,R117)=1,1,0))</f>
        <v>1</v>
      </c>
    </row>
    <row r="118" spans="16:26" x14ac:dyDescent="0.4">
      <c r="P118" s="22" t="str">
        <f>RISK进展队列GEO回末测序数据整理!A117</f>
        <v>GSM1598523</v>
      </c>
      <c r="Q118" s="22" t="str">
        <f>RISK进展队列GEO回末测序数据整理!B117</f>
        <v>CCFA_Risk_116</v>
      </c>
      <c r="R118" s="22" t="str">
        <f>IF(LOWER(TRIM(RISK进展队列GEO回末测序数据整理!G117))="not ibd","Not IBD",TRIM(RISK进展队列GEO回末测序数据整理!G117))</f>
        <v>CD</v>
      </c>
      <c r="S118" s="22" t="str">
        <f>IF(LOWER(TRIM(RISK进展队列GEO回末测序数据整理!H117))="not ibd","Not IBD",TRIM(RISK进展队列GEO回末测序数据整理!H117))</f>
        <v>iCD</v>
      </c>
      <c r="T118" s="22" t="str">
        <f>IF(RISK进展队列GEO回末测序数据整理!D117="女","女性",IF(RISK进展队列GEO回末测序数据整理!D117="男","男性",TRIM(RISK进展队列GEO回末测序数据整理!D117)))</f>
        <v>男性</v>
      </c>
      <c r="U118" s="22">
        <f>RISK进展队列GEO回末测序数据整理!E117</f>
        <v>11.33</v>
      </c>
      <c r="V118" s="22" t="str">
        <f>RISK进展队列GEO回末测序数据整理!F117</f>
        <v>A1b</v>
      </c>
      <c r="W118" s="22" t="str">
        <f>IF(RISK进展队列GEO回末测序数据整理!I117="Macroscopic inflammation","Macro",IF(RISK进展队列GEO回末测序数据整理!I117="Microscopic inflammation","Micro",TRIM(RISK进展队列GEO回末测序数据整理!I117)))</f>
        <v>Macro</v>
      </c>
      <c r="X118" s="22" t="str">
        <f>IF(RISK进展队列GEO回末测序数据整理!J117=1,"Yes",IF(RISK进展队列GEO回末测序数据整理!J117=0,"No","N/A"))</f>
        <v>Yes</v>
      </c>
      <c r="Y118" s="22">
        <f>IF(Q118="","",IF(COUNTIF($Q$3:Q118,Q118)=1,1,0))</f>
        <v>1</v>
      </c>
      <c r="Z118" s="22">
        <f>IF(Q118="","",IF(COUNTIFS($Q$3:Q118,Q118,$R$3:R118,R118)=1,1,0))</f>
        <v>1</v>
      </c>
    </row>
    <row r="119" spans="16:26" x14ac:dyDescent="0.4">
      <c r="P119" s="22" t="str">
        <f>RISK进展队列GEO回末测序数据整理!A118</f>
        <v>GSM1598524</v>
      </c>
      <c r="Q119" s="22" t="str">
        <f>RISK进展队列GEO回末测序数据整理!B118</f>
        <v>CCFA_Risk_117</v>
      </c>
      <c r="R119" s="22" t="str">
        <f>IF(LOWER(TRIM(RISK进展队列GEO回末测序数据整理!G118))="not ibd","Not IBD",TRIM(RISK进展队列GEO回末测序数据整理!G118))</f>
        <v>Not IBD</v>
      </c>
      <c r="S119" s="22" t="str">
        <f>IF(LOWER(TRIM(RISK进展队列GEO回末测序数据整理!H118))="not ibd","Not IBD",TRIM(RISK进展队列GEO回末测序数据整理!H118))</f>
        <v>Not IBD</v>
      </c>
      <c r="T119" s="22" t="str">
        <f>IF(RISK进展队列GEO回末测序数据整理!D118="女","女性",IF(RISK进展队列GEO回末测序数据整理!D118="男","男性",TRIM(RISK进展队列GEO回末测序数据整理!D118)))</f>
        <v>男性</v>
      </c>
      <c r="U119" s="22">
        <f>RISK进展队列GEO回末测序数据整理!E118</f>
        <v>7.83</v>
      </c>
      <c r="V119" s="22" t="str">
        <f>RISK进展队列GEO回末测序数据整理!F118</f>
        <v>A1a</v>
      </c>
      <c r="W119" s="22" t="str">
        <f>IF(RISK进展队列GEO回末测序数据整理!I118="Macroscopic inflammation","Macro",IF(RISK进展队列GEO回末测序数据整理!I118="Microscopic inflammation","Micro",TRIM(RISK进展队列GEO回末测序数据整理!I118)))</f>
        <v>NA</v>
      </c>
      <c r="X119" s="22" t="str">
        <f>IF(RISK进展队列GEO回末测序数据整理!J118=1,"Yes",IF(RISK进展队列GEO回末测序数据整理!J118=0,"No","N/A"))</f>
        <v>N/A</v>
      </c>
      <c r="Y119" s="22">
        <f>IF(Q119="","",IF(COUNTIF($Q$3:Q119,Q119)=1,1,0))</f>
        <v>1</v>
      </c>
      <c r="Z119" s="22">
        <f>IF(Q119="","",IF(COUNTIFS($Q$3:Q119,Q119,$R$3:R119,R119)=1,1,0))</f>
        <v>1</v>
      </c>
    </row>
    <row r="120" spans="16:26" x14ac:dyDescent="0.4">
      <c r="P120" s="22" t="str">
        <f>RISK进展队列GEO回末测序数据整理!A119</f>
        <v>GSM1598525</v>
      </c>
      <c r="Q120" s="22" t="str">
        <f>RISK进展队列GEO回末测序数据整理!B119</f>
        <v>CCFA_Risk_118</v>
      </c>
      <c r="R120" s="22" t="str">
        <f>IF(LOWER(TRIM(RISK进展队列GEO回末测序数据整理!G119))="not ibd","Not IBD",TRIM(RISK进展队列GEO回末测序数据整理!G119))</f>
        <v>Not IBD</v>
      </c>
      <c r="S120" s="22" t="str">
        <f>IF(LOWER(TRIM(RISK进展队列GEO回末测序数据整理!H119))="not ibd","Not IBD",TRIM(RISK进展队列GEO回末测序数据整理!H119))</f>
        <v>Not IBD</v>
      </c>
      <c r="T120" s="22" t="str">
        <f>IF(RISK进展队列GEO回末测序数据整理!D119="女","女性",IF(RISK进展队列GEO回末测序数据整理!D119="男","男性",TRIM(RISK进展队列GEO回末测序数据整理!D119)))</f>
        <v>男性</v>
      </c>
      <c r="U120" s="22">
        <f>RISK进展队列GEO回末测序数据整理!E119</f>
        <v>9.67</v>
      </c>
      <c r="V120" s="22" t="str">
        <f>RISK进展队列GEO回末测序数据整理!F119</f>
        <v>A1a</v>
      </c>
      <c r="W120" s="22" t="str">
        <f>IF(RISK进展队列GEO回末测序数据整理!I119="Macroscopic inflammation","Macro",IF(RISK进展队列GEO回末测序数据整理!I119="Microscopic inflammation","Micro",TRIM(RISK进展队列GEO回末测序数据整理!I119)))</f>
        <v>NA</v>
      </c>
      <c r="X120" s="22" t="str">
        <f>IF(RISK进展队列GEO回末测序数据整理!J119=1,"Yes",IF(RISK进展队列GEO回末测序数据整理!J119=0,"No","N/A"))</f>
        <v>N/A</v>
      </c>
      <c r="Y120" s="22">
        <f>IF(Q120="","",IF(COUNTIF($Q$3:Q120,Q120)=1,1,0))</f>
        <v>1</v>
      </c>
      <c r="Z120" s="22">
        <f>IF(Q120="","",IF(COUNTIFS($Q$3:Q120,Q120,$R$3:R120,R120)=1,1,0))</f>
        <v>1</v>
      </c>
    </row>
    <row r="121" spans="16:26" x14ac:dyDescent="0.4">
      <c r="P121" s="22" t="str">
        <f>RISK进展队列GEO回末测序数据整理!A120</f>
        <v>GSM1598526</v>
      </c>
      <c r="Q121" s="22" t="str">
        <f>RISK进展队列GEO回末测序数据整理!B120</f>
        <v>CCFA_Risk_119</v>
      </c>
      <c r="R121" s="22" t="str">
        <f>IF(LOWER(TRIM(RISK进展队列GEO回末测序数据整理!G120))="not ibd","Not IBD",TRIM(RISK进展队列GEO回末测序数据整理!G120))</f>
        <v>UC</v>
      </c>
      <c r="S121" s="22" t="str">
        <f>IF(LOWER(TRIM(RISK进展队列GEO回末测序数据整理!H120))="not ibd","Not IBD",TRIM(RISK进展队列GEO回末测序数据整理!H120))</f>
        <v>UC</v>
      </c>
      <c r="T121" s="22" t="str">
        <f>IF(RISK进展队列GEO回末测序数据整理!D120="女","女性",IF(RISK进展队列GEO回末测序数据整理!D120="男","男性",TRIM(RISK进展队列GEO回末测序数据整理!D120)))</f>
        <v>男性</v>
      </c>
      <c r="U121" s="22">
        <f>RISK进展队列GEO回末测序数据整理!E120</f>
        <v>12.67</v>
      </c>
      <c r="V121" s="22" t="str">
        <f>RISK进展队列GEO回末测序数据整理!F120</f>
        <v>A1b</v>
      </c>
      <c r="W121" s="22" t="str">
        <f>IF(RISK进展队列GEO回末测序数据整理!I120="Macroscopic inflammation","Macro",IF(RISK进展队列GEO回末测序数据整理!I120="Microscopic inflammation","Micro",TRIM(RISK进展队列GEO回末测序数据整理!I120)))</f>
        <v>NA</v>
      </c>
      <c r="X121" s="22" t="str">
        <f>IF(RISK进展队列GEO回末测序数据整理!J120=1,"Yes",IF(RISK进展队列GEO回末测序数据整理!J120=0,"No","N/A"))</f>
        <v>N/A</v>
      </c>
      <c r="Y121" s="22">
        <f>IF(Q121="","",IF(COUNTIF($Q$3:Q121,Q121)=1,1,0))</f>
        <v>1</v>
      </c>
      <c r="Z121" s="22">
        <f>IF(Q121="","",IF(COUNTIFS($Q$3:Q121,Q121,$R$3:R121,R121)=1,1,0))</f>
        <v>1</v>
      </c>
    </row>
    <row r="122" spans="16:26" x14ac:dyDescent="0.4">
      <c r="P122" s="22" t="str">
        <f>RISK进展队列GEO回末测序数据整理!A121</f>
        <v>GSM1598527</v>
      </c>
      <c r="Q122" s="22" t="str">
        <f>RISK进展队列GEO回末测序数据整理!B121</f>
        <v>CCFA_Risk_120</v>
      </c>
      <c r="R122" s="22" t="str">
        <f>IF(LOWER(TRIM(RISK进展队列GEO回末测序数据整理!G121))="not ibd","Not IBD",TRIM(RISK进展队列GEO回末测序数据整理!G121))</f>
        <v>Not IBD</v>
      </c>
      <c r="S122" s="22" t="str">
        <f>IF(LOWER(TRIM(RISK进展队列GEO回末测序数据整理!H121))="not ibd","Not IBD",TRIM(RISK进展队列GEO回末测序数据整理!H121))</f>
        <v>Not IBD</v>
      </c>
      <c r="T122" s="22" t="str">
        <f>IF(RISK进展队列GEO回末测序数据整理!D121="女","女性",IF(RISK进展队列GEO回末测序数据整理!D121="男","男性",TRIM(RISK进展队列GEO回末测序数据整理!D121)))</f>
        <v>男性</v>
      </c>
      <c r="U122" s="22">
        <f>RISK进展队列GEO回末测序数据整理!E121</f>
        <v>8</v>
      </c>
      <c r="V122" s="22" t="str">
        <f>RISK进展队列GEO回末测序数据整理!F121</f>
        <v>A1a</v>
      </c>
      <c r="W122" s="22" t="str">
        <f>IF(RISK进展队列GEO回末测序数据整理!I121="Macroscopic inflammation","Macro",IF(RISK进展队列GEO回末测序数据整理!I121="Microscopic inflammation","Micro",TRIM(RISK进展队列GEO回末测序数据整理!I121)))</f>
        <v>NA</v>
      </c>
      <c r="X122" s="22" t="str">
        <f>IF(RISK进展队列GEO回末测序数据整理!J121=1,"Yes",IF(RISK进展队列GEO回末测序数据整理!J121=0,"No","N/A"))</f>
        <v>N/A</v>
      </c>
      <c r="Y122" s="22">
        <f>IF(Q122="","",IF(COUNTIF($Q$3:Q122,Q122)=1,1,0))</f>
        <v>1</v>
      </c>
      <c r="Z122" s="22">
        <f>IF(Q122="","",IF(COUNTIFS($Q$3:Q122,Q122,$R$3:R122,R122)=1,1,0))</f>
        <v>1</v>
      </c>
    </row>
    <row r="123" spans="16:26" x14ac:dyDescent="0.4">
      <c r="P123" s="22" t="str">
        <f>RISK进展队列GEO回末测序数据整理!A122</f>
        <v>GSM1598528</v>
      </c>
      <c r="Q123" s="22" t="str">
        <f>RISK进展队列GEO回末测序数据整理!B122</f>
        <v>CCFA_Risk_121</v>
      </c>
      <c r="R123" s="22" t="str">
        <f>IF(LOWER(TRIM(RISK进展队列GEO回末测序数据整理!G122))="not ibd","Not IBD",TRIM(RISK进展队列GEO回末测序数据整理!G122))</f>
        <v>Not IBD</v>
      </c>
      <c r="S123" s="22" t="str">
        <f>IF(LOWER(TRIM(RISK进展队列GEO回末测序数据整理!H122))="not ibd","Not IBD",TRIM(RISK进展队列GEO回末测序数据整理!H122))</f>
        <v>Not IBD</v>
      </c>
      <c r="T123" s="22" t="str">
        <f>IF(RISK进展队列GEO回末测序数据整理!D122="女","女性",IF(RISK进展队列GEO回末测序数据整理!D122="男","男性",TRIM(RISK进展队列GEO回末测序数据整理!D122)))</f>
        <v>女性</v>
      </c>
      <c r="U123" s="22">
        <f>RISK进展队列GEO回末测序数据整理!E122</f>
        <v>10.67</v>
      </c>
      <c r="V123" s="22" t="str">
        <f>RISK进展队列GEO回末测序数据整理!F122</f>
        <v>A1b</v>
      </c>
      <c r="W123" s="22" t="str">
        <f>IF(RISK进展队列GEO回末测序数据整理!I122="Macroscopic inflammation","Macro",IF(RISK进展队列GEO回末测序数据整理!I122="Microscopic inflammation","Micro",TRIM(RISK进展队列GEO回末测序数据整理!I122)))</f>
        <v>NA</v>
      </c>
      <c r="X123" s="22" t="str">
        <f>IF(RISK进展队列GEO回末测序数据整理!J122=1,"Yes",IF(RISK进展队列GEO回末测序数据整理!J122=0,"No","N/A"))</f>
        <v>N/A</v>
      </c>
      <c r="Y123" s="22">
        <f>IF(Q123="","",IF(COUNTIF($Q$3:Q123,Q123)=1,1,0))</f>
        <v>1</v>
      </c>
      <c r="Z123" s="22">
        <f>IF(Q123="","",IF(COUNTIFS($Q$3:Q123,Q123,$R$3:R123,R123)=1,1,0))</f>
        <v>1</v>
      </c>
    </row>
    <row r="124" spans="16:26" x14ac:dyDescent="0.4">
      <c r="P124" s="22" t="str">
        <f>RISK进展队列GEO回末测序数据整理!A123</f>
        <v>GSM1598529</v>
      </c>
      <c r="Q124" s="22" t="str">
        <f>RISK进展队列GEO回末测序数据整理!B123</f>
        <v>CCFA_Risk_122</v>
      </c>
      <c r="R124" s="22" t="str">
        <f>IF(LOWER(TRIM(RISK进展队列GEO回末测序数据整理!G123))="not ibd","Not IBD",TRIM(RISK进展队列GEO回末测序数据整理!G123))</f>
        <v>UC</v>
      </c>
      <c r="S124" s="22" t="str">
        <f>IF(LOWER(TRIM(RISK进展队列GEO回末测序数据整理!H123))="not ibd","Not IBD",TRIM(RISK进展队列GEO回末测序数据整理!H123))</f>
        <v>UC</v>
      </c>
      <c r="T124" s="22" t="str">
        <f>IF(RISK进展队列GEO回末测序数据整理!D123="女","女性",IF(RISK进展队列GEO回末测序数据整理!D123="男","男性",TRIM(RISK进展队列GEO回末测序数据整理!D123)))</f>
        <v>女性</v>
      </c>
      <c r="U124" s="22">
        <f>RISK进展队列GEO回末测序数据整理!E123</f>
        <v>10.5</v>
      </c>
      <c r="V124" s="22" t="str">
        <f>RISK进展队列GEO回末测序数据整理!F123</f>
        <v>A1b</v>
      </c>
      <c r="W124" s="22" t="str">
        <f>IF(RISK进展队列GEO回末测序数据整理!I123="Macroscopic inflammation","Macro",IF(RISK进展队列GEO回末测序数据整理!I123="Microscopic inflammation","Micro",TRIM(RISK进展队列GEO回末测序数据整理!I123)))</f>
        <v>NA</v>
      </c>
      <c r="X124" s="22" t="str">
        <f>IF(RISK进展队列GEO回末测序数据整理!J123=1,"Yes",IF(RISK进展队列GEO回末测序数据整理!J123=0,"No","N/A"))</f>
        <v>N/A</v>
      </c>
      <c r="Y124" s="22">
        <f>IF(Q124="","",IF(COUNTIF($Q$3:Q124,Q124)=1,1,0))</f>
        <v>1</v>
      </c>
      <c r="Z124" s="22">
        <f>IF(Q124="","",IF(COUNTIFS($Q$3:Q124,Q124,$R$3:R124,R124)=1,1,0))</f>
        <v>1</v>
      </c>
    </row>
    <row r="125" spans="16:26" x14ac:dyDescent="0.4">
      <c r="P125" s="22" t="str">
        <f>RISK进展队列GEO回末测序数据整理!A124</f>
        <v>GSM1598530</v>
      </c>
      <c r="Q125" s="22" t="str">
        <f>RISK进展队列GEO回末测序数据整理!B124</f>
        <v>CCFA_Risk_123</v>
      </c>
      <c r="R125" s="22" t="str">
        <f>IF(LOWER(TRIM(RISK进展队列GEO回末测序数据整理!G124))="not ibd","Not IBD",TRIM(RISK进展队列GEO回末测序数据整理!G124))</f>
        <v>UC</v>
      </c>
      <c r="S125" s="22" t="str">
        <f>IF(LOWER(TRIM(RISK进展队列GEO回末测序数据整理!H124))="not ibd","Not IBD",TRIM(RISK进展队列GEO回末测序数据整理!H124))</f>
        <v>UC</v>
      </c>
      <c r="T125" s="22" t="str">
        <f>IF(RISK进展队列GEO回末测序数据整理!D124="女","女性",IF(RISK进展队列GEO回末测序数据整理!D124="男","男性",TRIM(RISK进展队列GEO回末测序数据整理!D124)))</f>
        <v>女性</v>
      </c>
      <c r="U125" s="22">
        <f>RISK进展队列GEO回末测序数据整理!E124</f>
        <v>8.5</v>
      </c>
      <c r="V125" s="22" t="str">
        <f>RISK进展队列GEO回末测序数据整理!F124</f>
        <v>A1a</v>
      </c>
      <c r="W125" s="22" t="str">
        <f>IF(RISK进展队列GEO回末测序数据整理!I124="Macroscopic inflammation","Macro",IF(RISK进展队列GEO回末测序数据整理!I124="Microscopic inflammation","Micro",TRIM(RISK进展队列GEO回末测序数据整理!I124)))</f>
        <v>NA</v>
      </c>
      <c r="X125" s="22" t="str">
        <f>IF(RISK进展队列GEO回末测序数据整理!J124=1,"Yes",IF(RISK进展队列GEO回末测序数据整理!J124=0,"No","N/A"))</f>
        <v>N/A</v>
      </c>
      <c r="Y125" s="22">
        <f>IF(Q125="","",IF(COUNTIF($Q$3:Q125,Q125)=1,1,0))</f>
        <v>1</v>
      </c>
      <c r="Z125" s="22">
        <f>IF(Q125="","",IF(COUNTIFS($Q$3:Q125,Q125,$R$3:R125,R125)=1,1,0))</f>
        <v>1</v>
      </c>
    </row>
    <row r="126" spans="16:26" x14ac:dyDescent="0.4">
      <c r="P126" s="22" t="str">
        <f>RISK进展队列GEO回末测序数据整理!A125</f>
        <v>GSM1598531</v>
      </c>
      <c r="Q126" s="22" t="str">
        <f>RISK进展队列GEO回末测序数据整理!B125</f>
        <v>CCFA_Risk_124</v>
      </c>
      <c r="R126" s="22" t="str">
        <f>IF(LOWER(TRIM(RISK进展队列GEO回末测序数据整理!G125))="not ibd","Not IBD",TRIM(RISK进展队列GEO回末测序数据整理!G125))</f>
        <v>UC</v>
      </c>
      <c r="S126" s="22" t="str">
        <f>IF(LOWER(TRIM(RISK进展队列GEO回末测序数据整理!H125))="not ibd","Not IBD",TRIM(RISK进展队列GEO回末测序数据整理!H125))</f>
        <v>UC</v>
      </c>
      <c r="T126" s="22" t="str">
        <f>IF(RISK进展队列GEO回末测序数据整理!D125="女","女性",IF(RISK进展队列GEO回末测序数据整理!D125="男","男性",TRIM(RISK进展队列GEO回末测序数据整理!D125)))</f>
        <v>女性</v>
      </c>
      <c r="U126" s="22">
        <f>RISK进展队列GEO回末测序数据整理!E125</f>
        <v>11.67</v>
      </c>
      <c r="V126" s="22" t="str">
        <f>RISK进展队列GEO回末测序数据整理!F125</f>
        <v>A1b</v>
      </c>
      <c r="W126" s="22" t="str">
        <f>IF(RISK进展队列GEO回末测序数据整理!I125="Macroscopic inflammation","Macro",IF(RISK进展队列GEO回末测序数据整理!I125="Microscopic inflammation","Micro",TRIM(RISK进展队列GEO回末测序数据整理!I125)))</f>
        <v>NA</v>
      </c>
      <c r="X126" s="22" t="str">
        <f>IF(RISK进展队列GEO回末测序数据整理!J125=1,"Yes",IF(RISK进展队列GEO回末测序数据整理!J125=0,"No","N/A"))</f>
        <v>N/A</v>
      </c>
      <c r="Y126" s="22">
        <f>IF(Q126="","",IF(COUNTIF($Q$3:Q126,Q126)=1,1,0))</f>
        <v>1</v>
      </c>
      <c r="Z126" s="22">
        <f>IF(Q126="","",IF(COUNTIFS($Q$3:Q126,Q126,$R$3:R126,R126)=1,1,0))</f>
        <v>1</v>
      </c>
    </row>
    <row r="127" spans="16:26" x14ac:dyDescent="0.4">
      <c r="P127" s="22" t="str">
        <f>RISK进展队列GEO回末测序数据整理!A126</f>
        <v>GSM1598532</v>
      </c>
      <c r="Q127" s="22" t="str">
        <f>RISK进展队列GEO回末测序数据整理!B126</f>
        <v>CCFA_Risk_125</v>
      </c>
      <c r="R127" s="22" t="str">
        <f>IF(LOWER(TRIM(RISK进展队列GEO回末测序数据整理!G126))="not ibd","Not IBD",TRIM(RISK进展队列GEO回末测序数据整理!G126))</f>
        <v>UC</v>
      </c>
      <c r="S127" s="22" t="str">
        <f>IF(LOWER(TRIM(RISK进展队列GEO回末测序数据整理!H126))="not ibd","Not IBD",TRIM(RISK进展队列GEO回末测序数据整理!H126))</f>
        <v>UC</v>
      </c>
      <c r="T127" s="22" t="str">
        <f>IF(RISK进展队列GEO回末测序数据整理!D126="女","女性",IF(RISK进展队列GEO回末测序数据整理!D126="男","男性",TRIM(RISK进展队列GEO回末测序数据整理!D126)))</f>
        <v>男性</v>
      </c>
      <c r="U127" s="22">
        <f>RISK进展队列GEO回末测序数据整理!E126</f>
        <v>5.75</v>
      </c>
      <c r="V127" s="22" t="str">
        <f>RISK进展队列GEO回末测序数据整理!F126</f>
        <v>A1a</v>
      </c>
      <c r="W127" s="22" t="str">
        <f>IF(RISK进展队列GEO回末测序数据整理!I126="Macroscopic inflammation","Macro",IF(RISK进展队列GEO回末测序数据整理!I126="Microscopic inflammation","Micro",TRIM(RISK进展队列GEO回末测序数据整理!I126)))</f>
        <v>NA</v>
      </c>
      <c r="X127" s="22" t="str">
        <f>IF(RISK进展队列GEO回末测序数据整理!J126=1,"Yes",IF(RISK进展队列GEO回末测序数据整理!J126=0,"No","N/A"))</f>
        <v>N/A</v>
      </c>
      <c r="Y127" s="22">
        <f>IF(Q127="","",IF(COUNTIF($Q$3:Q127,Q127)=1,1,0))</f>
        <v>1</v>
      </c>
      <c r="Z127" s="22">
        <f>IF(Q127="","",IF(COUNTIFS($Q$3:Q127,Q127,$R$3:R127,R127)=1,1,0))</f>
        <v>1</v>
      </c>
    </row>
    <row r="128" spans="16:26" x14ac:dyDescent="0.4">
      <c r="P128" s="22" t="str">
        <f>RISK进展队列GEO回末测序数据整理!A127</f>
        <v>GSM1598533</v>
      </c>
      <c r="Q128" s="22" t="str">
        <f>RISK进展队列GEO回末测序数据整理!B127</f>
        <v>CCFA_Risk_126</v>
      </c>
      <c r="R128" s="22" t="str">
        <f>IF(LOWER(TRIM(RISK进展队列GEO回末测序数据整理!G127))="not ibd","Not IBD",TRIM(RISK进展队列GEO回末测序数据整理!G127))</f>
        <v>UC</v>
      </c>
      <c r="S128" s="22" t="str">
        <f>IF(LOWER(TRIM(RISK进展队列GEO回末测序数据整理!H127))="not ibd","Not IBD",TRIM(RISK进展队列GEO回末测序数据整理!H127))</f>
        <v>UC</v>
      </c>
      <c r="T128" s="22" t="str">
        <f>IF(RISK进展队列GEO回末测序数据整理!D127="女","女性",IF(RISK进展队列GEO回末测序数据整理!D127="男","男性",TRIM(RISK进展队列GEO回末测序数据整理!D127)))</f>
        <v>男性</v>
      </c>
      <c r="U128" s="22">
        <f>RISK进展队列GEO回末测序数据整理!E127</f>
        <v>5.5</v>
      </c>
      <c r="V128" s="22" t="str">
        <f>RISK进展队列GEO回末测序数据整理!F127</f>
        <v>A1a</v>
      </c>
      <c r="W128" s="22" t="str">
        <f>IF(RISK进展队列GEO回末测序数据整理!I127="Macroscopic inflammation","Macro",IF(RISK进展队列GEO回末测序数据整理!I127="Microscopic inflammation","Micro",TRIM(RISK进展队列GEO回末测序数据整理!I127)))</f>
        <v>NA</v>
      </c>
      <c r="X128" s="22" t="str">
        <f>IF(RISK进展队列GEO回末测序数据整理!J127=1,"Yes",IF(RISK进展队列GEO回末测序数据整理!J127=0,"No","N/A"))</f>
        <v>N/A</v>
      </c>
      <c r="Y128" s="22">
        <f>IF(Q128="","",IF(COUNTIF($Q$3:Q128,Q128)=1,1,0))</f>
        <v>1</v>
      </c>
      <c r="Z128" s="22">
        <f>IF(Q128="","",IF(COUNTIFS($Q$3:Q128,Q128,$R$3:R128,R128)=1,1,0))</f>
        <v>1</v>
      </c>
    </row>
    <row r="129" spans="16:26" x14ac:dyDescent="0.4">
      <c r="P129" s="22" t="str">
        <f>RISK进展队列GEO回末测序数据整理!A128</f>
        <v>GSM1598534</v>
      </c>
      <c r="Q129" s="22" t="str">
        <f>RISK进展队列GEO回末测序数据整理!B128</f>
        <v>CCFA_Risk_127</v>
      </c>
      <c r="R129" s="22" t="str">
        <f>IF(LOWER(TRIM(RISK进展队列GEO回末测序数据整理!G128))="not ibd","Not IBD",TRIM(RISK进展队列GEO回末测序数据整理!G128))</f>
        <v>UC</v>
      </c>
      <c r="S129" s="22" t="str">
        <f>IF(LOWER(TRIM(RISK进展队列GEO回末测序数据整理!H128))="not ibd","Not IBD",TRIM(RISK进展队列GEO回末测序数据整理!H128))</f>
        <v>UC</v>
      </c>
      <c r="T129" s="22" t="str">
        <f>IF(RISK进展队列GEO回末测序数据整理!D128="女","女性",IF(RISK进展队列GEO回末测序数据整理!D128="男","男性",TRIM(RISK进展队列GEO回末测序数据整理!D128)))</f>
        <v>女性</v>
      </c>
      <c r="U129" s="22">
        <f>RISK进展队列GEO回末测序数据整理!E128</f>
        <v>14.5</v>
      </c>
      <c r="V129" s="22" t="str">
        <f>RISK进展队列GEO回末测序数据整理!F128</f>
        <v>A1b</v>
      </c>
      <c r="W129" s="22" t="str">
        <f>IF(RISK进展队列GEO回末测序数据整理!I128="Macroscopic inflammation","Macro",IF(RISK进展队列GEO回末测序数据整理!I128="Microscopic inflammation","Micro",TRIM(RISK进展队列GEO回末测序数据整理!I128)))</f>
        <v>NA</v>
      </c>
      <c r="X129" s="22" t="str">
        <f>IF(RISK进展队列GEO回末测序数据整理!J128=1,"Yes",IF(RISK进展队列GEO回末测序数据整理!J128=0,"No","N/A"))</f>
        <v>N/A</v>
      </c>
      <c r="Y129" s="22">
        <f>IF(Q129="","",IF(COUNTIF($Q$3:Q129,Q129)=1,1,0))</f>
        <v>1</v>
      </c>
      <c r="Z129" s="22">
        <f>IF(Q129="","",IF(COUNTIFS($Q$3:Q129,Q129,$R$3:R129,R129)=1,1,0))</f>
        <v>1</v>
      </c>
    </row>
    <row r="130" spans="16:26" x14ac:dyDescent="0.4">
      <c r="P130" s="22" t="str">
        <f>RISK进展队列GEO回末测序数据整理!A129</f>
        <v>GSM1598535</v>
      </c>
      <c r="Q130" s="22" t="str">
        <f>RISK进展队列GEO回末测序数据整理!B129</f>
        <v>CCFA_Risk_128</v>
      </c>
      <c r="R130" s="22" t="str">
        <f>IF(LOWER(TRIM(RISK进展队列GEO回末测序数据整理!G129))="not ibd","Not IBD",TRIM(RISK进展队列GEO回末测序数据整理!G129))</f>
        <v>UC</v>
      </c>
      <c r="S130" s="22" t="str">
        <f>IF(LOWER(TRIM(RISK进展队列GEO回末测序数据整理!H129))="not ibd","Not IBD",TRIM(RISK进展队列GEO回末测序数据整理!H129))</f>
        <v>UC</v>
      </c>
      <c r="T130" s="22" t="str">
        <f>IF(RISK进展队列GEO回末测序数据整理!D129="女","女性",IF(RISK进展队列GEO回末测序数据整理!D129="男","男性",TRIM(RISK进展队列GEO回末测序数据整理!D129)))</f>
        <v>女性</v>
      </c>
      <c r="U130" s="22">
        <f>RISK进展队列GEO回末测序数据整理!E129</f>
        <v>11.5</v>
      </c>
      <c r="V130" s="22" t="str">
        <f>RISK进展队列GEO回末测序数据整理!F129</f>
        <v>A1b</v>
      </c>
      <c r="W130" s="22" t="str">
        <f>IF(RISK进展队列GEO回末测序数据整理!I129="Macroscopic inflammation","Macro",IF(RISK进展队列GEO回末测序数据整理!I129="Microscopic inflammation","Micro",TRIM(RISK进展队列GEO回末测序数据整理!I129)))</f>
        <v>NA</v>
      </c>
      <c r="X130" s="22" t="str">
        <f>IF(RISK进展队列GEO回末测序数据整理!J129=1,"Yes",IF(RISK进展队列GEO回末测序数据整理!J129=0,"No","N/A"))</f>
        <v>N/A</v>
      </c>
      <c r="Y130" s="22">
        <f>IF(Q130="","",IF(COUNTIF($Q$3:Q130,Q130)=1,1,0))</f>
        <v>1</v>
      </c>
      <c r="Z130" s="22">
        <f>IF(Q130="","",IF(COUNTIFS($Q$3:Q130,Q130,$R$3:R130,R130)=1,1,0))</f>
        <v>1</v>
      </c>
    </row>
    <row r="131" spans="16:26" x14ac:dyDescent="0.4">
      <c r="P131" s="22" t="str">
        <f>RISK进展队列GEO回末测序数据整理!A130</f>
        <v>GSM1598536</v>
      </c>
      <c r="Q131" s="22" t="str">
        <f>RISK进展队列GEO回末测序数据整理!B130</f>
        <v>CCFA_Risk_129</v>
      </c>
      <c r="R131" s="22" t="str">
        <f>IF(LOWER(TRIM(RISK进展队列GEO回末测序数据整理!G130))="not ibd","Not IBD",TRIM(RISK进展队列GEO回末测序数据整理!G130))</f>
        <v>UC</v>
      </c>
      <c r="S131" s="22" t="str">
        <f>IF(LOWER(TRIM(RISK进展队列GEO回末测序数据整理!H130))="not ibd","Not IBD",TRIM(RISK进展队列GEO回末测序数据整理!H130))</f>
        <v>UC</v>
      </c>
      <c r="T131" s="22" t="str">
        <f>IF(RISK进展队列GEO回末测序数据整理!D130="女","女性",IF(RISK进展队列GEO回末测序数据整理!D130="男","男性",TRIM(RISK进展队列GEO回末测序数据整理!D130)))</f>
        <v>男性</v>
      </c>
      <c r="U131" s="22">
        <f>RISK进展队列GEO回末测序数据整理!E130</f>
        <v>11.83</v>
      </c>
      <c r="V131" s="22" t="str">
        <f>RISK进展队列GEO回末测序数据整理!F130</f>
        <v>A1b</v>
      </c>
      <c r="W131" s="22" t="str">
        <f>IF(RISK进展队列GEO回末测序数据整理!I130="Macroscopic inflammation","Macro",IF(RISK进展队列GEO回末测序数据整理!I130="Microscopic inflammation","Micro",TRIM(RISK进展队列GEO回末测序数据整理!I130)))</f>
        <v>NA</v>
      </c>
      <c r="X131" s="22" t="str">
        <f>IF(RISK进展队列GEO回末测序数据整理!J130=1,"Yes",IF(RISK进展队列GEO回末测序数据整理!J130=0,"No","N/A"))</f>
        <v>N/A</v>
      </c>
      <c r="Y131" s="22">
        <f>IF(Q131="","",IF(COUNTIF($Q$3:Q131,Q131)=1,1,0))</f>
        <v>1</v>
      </c>
      <c r="Z131" s="22">
        <f>IF(Q131="","",IF(COUNTIFS($Q$3:Q131,Q131,$R$3:R131,R131)=1,1,0))</f>
        <v>1</v>
      </c>
    </row>
    <row r="132" spans="16:26" x14ac:dyDescent="0.4">
      <c r="P132" s="22" t="str">
        <f>RISK进展队列GEO回末测序数据整理!A131</f>
        <v>GSM1598537</v>
      </c>
      <c r="Q132" s="22" t="str">
        <f>RISK进展队列GEO回末测序数据整理!B131</f>
        <v>CCFA_Risk_130</v>
      </c>
      <c r="R132" s="22" t="str">
        <f>IF(LOWER(TRIM(RISK进展队列GEO回末测序数据整理!G131))="not ibd","Not IBD",TRIM(RISK进展队列GEO回末测序数据整理!G131))</f>
        <v>UC</v>
      </c>
      <c r="S132" s="22" t="str">
        <f>IF(LOWER(TRIM(RISK进展队列GEO回末测序数据整理!H131))="not ibd","Not IBD",TRIM(RISK进展队列GEO回末测序数据整理!H131))</f>
        <v>UC</v>
      </c>
      <c r="T132" s="22" t="str">
        <f>IF(RISK进展队列GEO回末测序数据整理!D131="女","女性",IF(RISK进展队列GEO回末测序数据整理!D131="男","男性",TRIM(RISK进展队列GEO回末测序数据整理!D131)))</f>
        <v>男性</v>
      </c>
      <c r="U132" s="22">
        <f>RISK进展队列GEO回末测序数据整理!E131</f>
        <v>15.5</v>
      </c>
      <c r="V132" s="22" t="str">
        <f>RISK进展队列GEO回末测序数据整理!F131</f>
        <v>A1b</v>
      </c>
      <c r="W132" s="22" t="str">
        <f>IF(RISK进展队列GEO回末测序数据整理!I131="Macroscopic inflammation","Macro",IF(RISK进展队列GEO回末测序数据整理!I131="Microscopic inflammation","Micro",TRIM(RISK进展队列GEO回末测序数据整理!I131)))</f>
        <v>NA</v>
      </c>
      <c r="X132" s="22" t="str">
        <f>IF(RISK进展队列GEO回末测序数据整理!J131=1,"Yes",IF(RISK进展队列GEO回末测序数据整理!J131=0,"No","N/A"))</f>
        <v>N/A</v>
      </c>
      <c r="Y132" s="22">
        <f>IF(Q132="","",IF(COUNTIF($Q$3:Q132,Q132)=1,1,0))</f>
        <v>1</v>
      </c>
      <c r="Z132" s="22">
        <f>IF(Q132="","",IF(COUNTIFS($Q$3:Q132,Q132,$R$3:R132,R132)=1,1,0))</f>
        <v>1</v>
      </c>
    </row>
    <row r="133" spans="16:26" x14ac:dyDescent="0.4">
      <c r="P133" s="22" t="str">
        <f>RISK进展队列GEO回末测序数据整理!A132</f>
        <v>GSM1598538</v>
      </c>
      <c r="Q133" s="22" t="str">
        <f>RISK进展队列GEO回末测序数据整理!B132</f>
        <v>CCFA_Risk_131</v>
      </c>
      <c r="R133" s="22" t="str">
        <f>IF(LOWER(TRIM(RISK进展队列GEO回末测序数据整理!G132))="not ibd","Not IBD",TRIM(RISK进展队列GEO回末测序数据整理!G132))</f>
        <v>UC</v>
      </c>
      <c r="S133" s="22" t="str">
        <f>IF(LOWER(TRIM(RISK进展队列GEO回末测序数据整理!H132))="not ibd","Not IBD",TRIM(RISK进展队列GEO回末测序数据整理!H132))</f>
        <v>UC</v>
      </c>
      <c r="T133" s="22" t="str">
        <f>IF(RISK进展队列GEO回末测序数据整理!D132="女","女性",IF(RISK进展队列GEO回末测序数据整理!D132="男","男性",TRIM(RISK进展队列GEO回末测序数据整理!D132)))</f>
        <v>女性</v>
      </c>
      <c r="U133" s="22">
        <f>RISK进展队列GEO回末测序数据整理!E132</f>
        <v>8.25</v>
      </c>
      <c r="V133" s="22" t="str">
        <f>RISK进展队列GEO回末测序数据整理!F132</f>
        <v>A1a</v>
      </c>
      <c r="W133" s="22" t="str">
        <f>IF(RISK进展队列GEO回末测序数据整理!I132="Macroscopic inflammation","Macro",IF(RISK进展队列GEO回末测序数据整理!I132="Microscopic inflammation","Micro",TRIM(RISK进展队列GEO回末测序数据整理!I132)))</f>
        <v>NA</v>
      </c>
      <c r="X133" s="22" t="str">
        <f>IF(RISK进展队列GEO回末测序数据整理!J132=1,"Yes",IF(RISK进展队列GEO回末测序数据整理!J132=0,"No","N/A"))</f>
        <v>N/A</v>
      </c>
      <c r="Y133" s="22">
        <f>IF(Q133="","",IF(COUNTIF($Q$3:Q133,Q133)=1,1,0))</f>
        <v>1</v>
      </c>
      <c r="Z133" s="22">
        <f>IF(Q133="","",IF(COUNTIFS($Q$3:Q133,Q133,$R$3:R133,R133)=1,1,0))</f>
        <v>1</v>
      </c>
    </row>
    <row r="134" spans="16:26" x14ac:dyDescent="0.4">
      <c r="P134" s="22" t="str">
        <f>RISK进展队列GEO回末测序数据整理!A133</f>
        <v>GSM1598539</v>
      </c>
      <c r="Q134" s="22" t="str">
        <f>RISK进展队列GEO回末测序数据整理!B133</f>
        <v>CCFA_Risk_132</v>
      </c>
      <c r="R134" s="22" t="str">
        <f>IF(LOWER(TRIM(RISK进展队列GEO回末测序数据整理!G133))="not ibd","Not IBD",TRIM(RISK进展队列GEO回末测序数据整理!G133))</f>
        <v>CD</v>
      </c>
      <c r="S134" s="22" t="str">
        <f>IF(LOWER(TRIM(RISK进展队列GEO回末测序数据整理!H133))="not ibd","Not IBD",TRIM(RISK进展队列GEO回末测序数据整理!H133))</f>
        <v>iCD</v>
      </c>
      <c r="T134" s="22" t="str">
        <f>IF(RISK进展队列GEO回末测序数据整理!D133="女","女性",IF(RISK进展队列GEO回末测序数据整理!D133="男","男性",TRIM(RISK进展队列GEO回末测序数据整理!D133)))</f>
        <v>男性</v>
      </c>
      <c r="U134" s="22">
        <f>RISK进展队列GEO回末测序数据整理!E133</f>
        <v>9.17</v>
      </c>
      <c r="V134" s="22" t="str">
        <f>RISK进展队列GEO回末测序数据整理!F133</f>
        <v>A1a</v>
      </c>
      <c r="W134" s="22" t="str">
        <f>IF(RISK进展队列GEO回末测序数据整理!I133="Macroscopic inflammation","Macro",IF(RISK进展队列GEO回末测序数据整理!I133="Microscopic inflammation","Micro",TRIM(RISK进展队列GEO回末测序数据整理!I133)))</f>
        <v>Macro</v>
      </c>
      <c r="X134" s="22" t="str">
        <f>IF(RISK进展队列GEO回末测序数据整理!J133=1,"Yes",IF(RISK进展队列GEO回末测序数据整理!J133=0,"No","N/A"))</f>
        <v>No</v>
      </c>
      <c r="Y134" s="22">
        <f>IF(Q134="","",IF(COUNTIF($Q$3:Q134,Q134)=1,1,0))</f>
        <v>1</v>
      </c>
      <c r="Z134" s="22">
        <f>IF(Q134="","",IF(COUNTIFS($Q$3:Q134,Q134,$R$3:R134,R134)=1,1,0))</f>
        <v>1</v>
      </c>
    </row>
    <row r="135" spans="16:26" x14ac:dyDescent="0.4">
      <c r="P135" s="22" t="str">
        <f>RISK进展队列GEO回末测序数据整理!A134</f>
        <v>GSM1598540</v>
      </c>
      <c r="Q135" s="22" t="str">
        <f>RISK进展队列GEO回末测序数据整理!B134</f>
        <v>CCFA_Risk_133</v>
      </c>
      <c r="R135" s="22" t="str">
        <f>IF(LOWER(TRIM(RISK进展队列GEO回末测序数据整理!G134))="not ibd","Not IBD",TRIM(RISK进展队列GEO回末测序数据整理!G134))</f>
        <v>CD</v>
      </c>
      <c r="S135" s="22" t="str">
        <f>IF(LOWER(TRIM(RISK进展队列GEO回末测序数据整理!H134))="not ibd","Not IBD",TRIM(RISK进展队列GEO回末测序数据整理!H134))</f>
        <v>iCD</v>
      </c>
      <c r="T135" s="22" t="str">
        <f>IF(RISK进展队列GEO回末测序数据整理!D134="女","女性",IF(RISK进展队列GEO回末测序数据整理!D134="男","男性",TRIM(RISK进展队列GEO回末测序数据整理!D134)))</f>
        <v>男性</v>
      </c>
      <c r="U135" s="22">
        <f>RISK进展队列GEO回末测序数据整理!E134</f>
        <v>13.67</v>
      </c>
      <c r="V135" s="22" t="str">
        <f>RISK进展队列GEO回末测序数据整理!F134</f>
        <v>A1b</v>
      </c>
      <c r="W135" s="22" t="str">
        <f>IF(RISK进展队列GEO回末测序数据整理!I134="Macroscopic inflammation","Macro",IF(RISK进展队列GEO回末测序数据整理!I134="Microscopic inflammation","Micro",TRIM(RISK进展队列GEO回末测序数据整理!I134)))</f>
        <v>Macro</v>
      </c>
      <c r="X135" s="22" t="str">
        <f>IF(RISK进展队列GEO回末测序数据整理!J134=1,"Yes",IF(RISK进展队列GEO回末测序数据整理!J134=0,"No","N/A"))</f>
        <v>Yes</v>
      </c>
      <c r="Y135" s="22">
        <f>IF(Q135="","",IF(COUNTIF($Q$3:Q135,Q135)=1,1,0))</f>
        <v>1</v>
      </c>
      <c r="Z135" s="22">
        <f>IF(Q135="","",IF(COUNTIFS($Q$3:Q135,Q135,$R$3:R135,R135)=1,1,0))</f>
        <v>1</v>
      </c>
    </row>
    <row r="136" spans="16:26" x14ac:dyDescent="0.4">
      <c r="P136" s="22" t="str">
        <f>RISK进展队列GEO回末测序数据整理!A135</f>
        <v>GSM1598541</v>
      </c>
      <c r="Q136" s="22" t="str">
        <f>RISK进展队列GEO回末测序数据整理!B135</f>
        <v>CCFA_Risk_134</v>
      </c>
      <c r="R136" s="22" t="str">
        <f>IF(LOWER(TRIM(RISK进展队列GEO回末测序数据整理!G135))="not ibd","Not IBD",TRIM(RISK进展队列GEO回末测序数据整理!G135))</f>
        <v>CD</v>
      </c>
      <c r="S136" s="22" t="str">
        <f>IF(LOWER(TRIM(RISK进展队列GEO回末测序数据整理!H135))="not ibd","Not IBD",TRIM(RISK进展队列GEO回末测序数据整理!H135))</f>
        <v>iCD</v>
      </c>
      <c r="T136" s="22" t="str">
        <f>IF(RISK进展队列GEO回末测序数据整理!D135="女","女性",IF(RISK进展队列GEO回末测序数据整理!D135="男","男性",TRIM(RISK进展队列GEO回末测序数据整理!D135)))</f>
        <v>男性</v>
      </c>
      <c r="U136" s="22">
        <f>RISK进展队列GEO回末测序数据整理!E135</f>
        <v>11.5</v>
      </c>
      <c r="V136" s="22" t="str">
        <f>RISK进展队列GEO回末测序数据整理!F135</f>
        <v>A1b</v>
      </c>
      <c r="W136" s="22" t="str">
        <f>IF(RISK进展队列GEO回末测序数据整理!I135="Macroscopic inflammation","Macro",IF(RISK进展队列GEO回末测序数据整理!I135="Microscopic inflammation","Micro",TRIM(RISK进展队列GEO回末测序数据整理!I135)))</f>
        <v>Macro</v>
      </c>
      <c r="X136" s="22" t="str">
        <f>IF(RISK进展队列GEO回末测序数据整理!J135=1,"Yes",IF(RISK进展队列GEO回末测序数据整理!J135=0,"No","N/A"))</f>
        <v>No</v>
      </c>
      <c r="Y136" s="22">
        <f>IF(Q136="","",IF(COUNTIF($Q$3:Q136,Q136)=1,1,0))</f>
        <v>1</v>
      </c>
      <c r="Z136" s="22">
        <f>IF(Q136="","",IF(COUNTIFS($Q$3:Q136,Q136,$R$3:R136,R136)=1,1,0))</f>
        <v>1</v>
      </c>
    </row>
    <row r="137" spans="16:26" x14ac:dyDescent="0.4">
      <c r="P137" s="22" t="str">
        <f>RISK进展队列GEO回末测序数据整理!A136</f>
        <v>GSM1598542</v>
      </c>
      <c r="Q137" s="22" t="str">
        <f>RISK进展队列GEO回末测序数据整理!B136</f>
        <v>CCFA_Risk_135</v>
      </c>
      <c r="R137" s="22" t="str">
        <f>IF(LOWER(TRIM(RISK进展队列GEO回末测序数据整理!G136))="not ibd","Not IBD",TRIM(RISK进展队列GEO回末测序数据整理!G136))</f>
        <v>CD</v>
      </c>
      <c r="S137" s="22" t="str">
        <f>IF(LOWER(TRIM(RISK进展队列GEO回末测序数据整理!H136))="not ibd","Not IBD",TRIM(RISK进展队列GEO回末测序数据整理!H136))</f>
        <v>iCD</v>
      </c>
      <c r="T137" s="22" t="str">
        <f>IF(RISK进展队列GEO回末测序数据整理!D136="女","女性",IF(RISK进展队列GEO回末测序数据整理!D136="男","男性",TRIM(RISK进展队列GEO回末测序数据整理!D136)))</f>
        <v>男性</v>
      </c>
      <c r="U137" s="22">
        <f>RISK进展队列GEO回末测序数据整理!E136</f>
        <v>14.42</v>
      </c>
      <c r="V137" s="22" t="str">
        <f>RISK进展队列GEO回末测序数据整理!F136</f>
        <v>A1b</v>
      </c>
      <c r="W137" s="22" t="str">
        <f>IF(RISK进展队列GEO回末测序数据整理!I136="Macroscopic inflammation","Macro",IF(RISK进展队列GEO回末测序数据整理!I136="Microscopic inflammation","Micro",TRIM(RISK进展队列GEO回末测序数据整理!I136)))</f>
        <v>Macro</v>
      </c>
      <c r="X137" s="22" t="str">
        <f>IF(RISK进展队列GEO回末测序数据整理!J136=1,"Yes",IF(RISK进展队列GEO回末测序数据整理!J136=0,"No","N/A"))</f>
        <v>No</v>
      </c>
      <c r="Y137" s="22">
        <f>IF(Q137="","",IF(COUNTIF($Q$3:Q137,Q137)=1,1,0))</f>
        <v>1</v>
      </c>
      <c r="Z137" s="22">
        <f>IF(Q137="","",IF(COUNTIFS($Q$3:Q137,Q137,$R$3:R137,R137)=1,1,0))</f>
        <v>1</v>
      </c>
    </row>
    <row r="138" spans="16:26" x14ac:dyDescent="0.4">
      <c r="P138" s="22" t="str">
        <f>RISK进展队列GEO回末测序数据整理!A137</f>
        <v>GSM1598543</v>
      </c>
      <c r="Q138" s="22" t="str">
        <f>RISK进展队列GEO回末测序数据整理!B137</f>
        <v>CCFA_Risk_136</v>
      </c>
      <c r="R138" s="22" t="str">
        <f>IF(LOWER(TRIM(RISK进展队列GEO回末测序数据整理!G137))="not ibd","Not IBD",TRIM(RISK进展队列GEO回末测序数据整理!G137))</f>
        <v>CD</v>
      </c>
      <c r="S138" s="22" t="str">
        <f>IF(LOWER(TRIM(RISK进展队列GEO回末测序数据整理!H137))="not ibd","Not IBD",TRIM(RISK进展队列GEO回末测序数据整理!H137))</f>
        <v>iCD</v>
      </c>
      <c r="T138" s="22" t="str">
        <f>IF(RISK进展队列GEO回末测序数据整理!D137="女","女性",IF(RISK进展队列GEO回末测序数据整理!D137="男","男性",TRIM(RISK进展队列GEO回末测序数据整理!D137)))</f>
        <v>女性</v>
      </c>
      <c r="U138" s="22">
        <f>RISK进展队列GEO回末测序数据整理!E137</f>
        <v>11.58</v>
      </c>
      <c r="V138" s="22" t="str">
        <f>RISK进展队列GEO回末测序数据整理!F137</f>
        <v>A1b</v>
      </c>
      <c r="W138" s="22" t="str">
        <f>IF(RISK进展队列GEO回末测序数据整理!I137="Macroscopic inflammation","Macro",IF(RISK进展队列GEO回末测序数据整理!I137="Microscopic inflammation","Micro",TRIM(RISK进展队列GEO回末测序数据整理!I137)))</f>
        <v>Macro</v>
      </c>
      <c r="X138" s="22" t="str">
        <f>IF(RISK进展队列GEO回末测序数据整理!J137=1,"Yes",IF(RISK进展队列GEO回末测序数据整理!J137=0,"No","N/A"))</f>
        <v>No</v>
      </c>
      <c r="Y138" s="22">
        <f>IF(Q138="","",IF(COUNTIF($Q$3:Q138,Q138)=1,1,0))</f>
        <v>1</v>
      </c>
      <c r="Z138" s="22">
        <f>IF(Q138="","",IF(COUNTIFS($Q$3:Q138,Q138,$R$3:R138,R138)=1,1,0))</f>
        <v>1</v>
      </c>
    </row>
    <row r="139" spans="16:26" x14ac:dyDescent="0.4">
      <c r="P139" s="22" t="str">
        <f>RISK进展队列GEO回末测序数据整理!A138</f>
        <v>GSM1598544</v>
      </c>
      <c r="Q139" s="22" t="str">
        <f>RISK进展队列GEO回末测序数据整理!B138</f>
        <v>CCFA_Risk_137</v>
      </c>
      <c r="R139" s="22" t="str">
        <f>IF(LOWER(TRIM(RISK进展队列GEO回末测序数据整理!G138))="not ibd","Not IBD",TRIM(RISK进展队列GEO回末测序数据整理!G138))</f>
        <v>CD</v>
      </c>
      <c r="S139" s="22" t="str">
        <f>IF(LOWER(TRIM(RISK进展队列GEO回末测序数据整理!H138))="not ibd","Not IBD",TRIM(RISK进展队列GEO回末测序数据整理!H138))</f>
        <v>cCD</v>
      </c>
      <c r="T139" s="22" t="str">
        <f>IF(RISK进展队列GEO回末测序数据整理!D138="女","女性",IF(RISK进展队列GEO回末测序数据整理!D138="男","男性",TRIM(RISK进展队列GEO回末测序数据整理!D138)))</f>
        <v>男性</v>
      </c>
      <c r="U139" s="22">
        <f>RISK进展队列GEO回末测序数据整理!E138</f>
        <v>15.83</v>
      </c>
      <c r="V139" s="22" t="str">
        <f>RISK进展队列GEO回末测序数据整理!F138</f>
        <v>A1b</v>
      </c>
      <c r="W139" s="22" t="str">
        <f>IF(RISK进展队列GEO回末测序数据整理!I138="Macroscopic inflammation","Macro",IF(RISK进展队列GEO回末测序数据整理!I138="Microscopic inflammation","Micro",TRIM(RISK进展队列GEO回末测序数据整理!I138)))</f>
        <v>Micro</v>
      </c>
      <c r="X139" s="22" t="str">
        <f>IF(RISK进展队列GEO回末测序数据整理!J138=1,"Yes",IF(RISK进展队列GEO回末测序数据整理!J138=0,"No","N/A"))</f>
        <v>No</v>
      </c>
      <c r="Y139" s="22">
        <f>IF(Q139="","",IF(COUNTIF($Q$3:Q139,Q139)=1,1,0))</f>
        <v>1</v>
      </c>
      <c r="Z139" s="22">
        <f>IF(Q139="","",IF(COUNTIFS($Q$3:Q139,Q139,$R$3:R139,R139)=1,1,0))</f>
        <v>1</v>
      </c>
    </row>
    <row r="140" spans="16:26" x14ac:dyDescent="0.4">
      <c r="P140" s="22" t="str">
        <f>RISK进展队列GEO回末测序数据整理!A139</f>
        <v>GSM1598545</v>
      </c>
      <c r="Q140" s="22" t="str">
        <f>RISK进展队列GEO回末测序数据整理!B139</f>
        <v>CCFA_Risk_138</v>
      </c>
      <c r="R140" s="22" t="str">
        <f>IF(LOWER(TRIM(RISK进展队列GEO回末测序数据整理!G139))="not ibd","Not IBD",TRIM(RISK进展队列GEO回末测序数据整理!G139))</f>
        <v>CD</v>
      </c>
      <c r="S140" s="22" t="str">
        <f>IF(LOWER(TRIM(RISK进展队列GEO回末测序数据整理!H139))="not ibd","Not IBD",TRIM(RISK进展队列GEO回末测序数据整理!H139))</f>
        <v>iCD</v>
      </c>
      <c r="T140" s="22" t="str">
        <f>IF(RISK进展队列GEO回末测序数据整理!D139="女","女性",IF(RISK进展队列GEO回末测序数据整理!D139="男","男性",TRIM(RISK进展队列GEO回末测序数据整理!D139)))</f>
        <v>女性</v>
      </c>
      <c r="U140" s="22">
        <f>RISK进展队列GEO回末测序数据整理!E139</f>
        <v>11.75</v>
      </c>
      <c r="V140" s="22" t="str">
        <f>RISK进展队列GEO回末测序数据整理!F139</f>
        <v>A1b</v>
      </c>
      <c r="W140" s="22" t="str">
        <f>IF(RISK进展队列GEO回末测序数据整理!I139="Macroscopic inflammation","Macro",IF(RISK进展队列GEO回末测序数据整理!I139="Microscopic inflammation","Micro",TRIM(RISK进展队列GEO回末测序数据整理!I139)))</f>
        <v>Macro</v>
      </c>
      <c r="X140" s="22" t="str">
        <f>IF(RISK进展队列GEO回末测序数据整理!J139=1,"Yes",IF(RISK进展队列GEO回末测序数据整理!J139=0,"No","N/A"))</f>
        <v>Yes</v>
      </c>
      <c r="Y140" s="22">
        <f>IF(Q140="","",IF(COUNTIF($Q$3:Q140,Q140)=1,1,0))</f>
        <v>1</v>
      </c>
      <c r="Z140" s="22">
        <f>IF(Q140="","",IF(COUNTIFS($Q$3:Q140,Q140,$R$3:R140,R140)=1,1,0))</f>
        <v>1</v>
      </c>
    </row>
    <row r="141" spans="16:26" x14ac:dyDescent="0.4">
      <c r="P141" s="22" t="str">
        <f>RISK进展队列GEO回末测序数据整理!A140</f>
        <v>GSM1598546</v>
      </c>
      <c r="Q141" s="22" t="str">
        <f>RISK进展队列GEO回末测序数据整理!B140</f>
        <v>CCFA_Risk_139</v>
      </c>
      <c r="R141" s="22" t="str">
        <f>IF(LOWER(TRIM(RISK进展队列GEO回末测序数据整理!G140))="not ibd","Not IBD",TRIM(RISK进展队列GEO回末测序数据整理!G140))</f>
        <v>CD</v>
      </c>
      <c r="S141" s="22" t="str">
        <f>IF(LOWER(TRIM(RISK进展队列GEO回末测序数据整理!H140))="not ibd","Not IBD",TRIM(RISK进展队列GEO回末测序数据整理!H140))</f>
        <v>iCD</v>
      </c>
      <c r="T141" s="22" t="str">
        <f>IF(RISK进展队列GEO回末测序数据整理!D140="女","女性",IF(RISK进展队列GEO回末测序数据整理!D140="男","男性",TRIM(RISK进展队列GEO回末测序数据整理!D140)))</f>
        <v>男性</v>
      </c>
      <c r="U141" s="22">
        <f>RISK进展队列GEO回末测序数据整理!E140</f>
        <v>11.5</v>
      </c>
      <c r="V141" s="22" t="str">
        <f>RISK进展队列GEO回末测序数据整理!F140</f>
        <v>A1b</v>
      </c>
      <c r="W141" s="22" t="str">
        <f>IF(RISK进展队列GEO回末测序数据整理!I140="Macroscopic inflammation","Macro",IF(RISK进展队列GEO回末测序数据整理!I140="Microscopic inflammation","Micro",TRIM(RISK进展队列GEO回末测序数据整理!I140)))</f>
        <v>Macro</v>
      </c>
      <c r="X141" s="22" t="str">
        <f>IF(RISK进展队列GEO回末测序数据整理!J140=1,"Yes",IF(RISK进展队列GEO回末测序数据整理!J140=0,"No","N/A"))</f>
        <v>Yes</v>
      </c>
      <c r="Y141" s="22">
        <f>IF(Q141="","",IF(COUNTIF($Q$3:Q141,Q141)=1,1,0))</f>
        <v>1</v>
      </c>
      <c r="Z141" s="22">
        <f>IF(Q141="","",IF(COUNTIFS($Q$3:Q141,Q141,$R$3:R141,R141)=1,1,0))</f>
        <v>1</v>
      </c>
    </row>
    <row r="142" spans="16:26" x14ac:dyDescent="0.4">
      <c r="P142" s="22" t="str">
        <f>RISK进展队列GEO回末测序数据整理!A141</f>
        <v>GSM1598547</v>
      </c>
      <c r="Q142" s="22" t="str">
        <f>RISK进展队列GEO回末测序数据整理!B141</f>
        <v>CCFA_Risk_140</v>
      </c>
      <c r="R142" s="22" t="str">
        <f>IF(LOWER(TRIM(RISK进展队列GEO回末测序数据整理!G141))="not ibd","Not IBD",TRIM(RISK进展队列GEO回末测序数据整理!G141))</f>
        <v>CD</v>
      </c>
      <c r="S142" s="22" t="str">
        <f>IF(LOWER(TRIM(RISK进展队列GEO回末测序数据整理!H141))="not ibd","Not IBD",TRIM(RISK进展队列GEO回末测序数据整理!H141))</f>
        <v>iCD</v>
      </c>
      <c r="T142" s="22" t="str">
        <f>IF(RISK进展队列GEO回末测序数据整理!D141="女","女性",IF(RISK进展队列GEO回末测序数据整理!D141="男","男性",TRIM(RISK进展队列GEO回末测序数据整理!D141)))</f>
        <v>女性</v>
      </c>
      <c r="U142" s="22">
        <f>RISK进展队列GEO回末测序数据整理!E141</f>
        <v>11</v>
      </c>
      <c r="V142" s="22" t="str">
        <f>RISK进展队列GEO回末测序数据整理!F141</f>
        <v>A1b</v>
      </c>
      <c r="W142" s="22" t="str">
        <f>IF(RISK进展队列GEO回末测序数据整理!I141="Macroscopic inflammation","Macro",IF(RISK进展队列GEO回末测序数据整理!I141="Microscopic inflammation","Micro",TRIM(RISK进展队列GEO回末测序数据整理!I141)))</f>
        <v>Macro</v>
      </c>
      <c r="X142" s="22" t="str">
        <f>IF(RISK进展队列GEO回末测序数据整理!J141=1,"Yes",IF(RISK进展队列GEO回末测序数据整理!J141=0,"No","N/A"))</f>
        <v>No</v>
      </c>
      <c r="Y142" s="22">
        <f>IF(Q142="","",IF(COUNTIF($Q$3:Q142,Q142)=1,1,0))</f>
        <v>1</v>
      </c>
      <c r="Z142" s="22">
        <f>IF(Q142="","",IF(COUNTIFS($Q$3:Q142,Q142,$R$3:R142,R142)=1,1,0))</f>
        <v>1</v>
      </c>
    </row>
    <row r="143" spans="16:26" x14ac:dyDescent="0.4">
      <c r="P143" s="22" t="str">
        <f>RISK进展队列GEO回末测序数据整理!A142</f>
        <v>GSM1598548</v>
      </c>
      <c r="Q143" s="22" t="str">
        <f>RISK进展队列GEO回末测序数据整理!B142</f>
        <v>CCFA_Risk_141</v>
      </c>
      <c r="R143" s="22" t="str">
        <f>IF(LOWER(TRIM(RISK进展队列GEO回末测序数据整理!G142))="not ibd","Not IBD",TRIM(RISK进展队列GEO回末测序数据整理!G142))</f>
        <v>CD</v>
      </c>
      <c r="S143" s="22" t="str">
        <f>IF(LOWER(TRIM(RISK进展队列GEO回末测序数据整理!H142))="not ibd","Not IBD",TRIM(RISK进展队列GEO回末测序数据整理!H142))</f>
        <v>iCD</v>
      </c>
      <c r="T143" s="22" t="str">
        <f>IF(RISK进展队列GEO回末测序数据整理!D142="女","女性",IF(RISK进展队列GEO回末测序数据整理!D142="男","男性",TRIM(RISK进展队列GEO回末测序数据整理!D142)))</f>
        <v>女性</v>
      </c>
      <c r="U143" s="22">
        <f>RISK进展队列GEO回末测序数据整理!E142</f>
        <v>12.33</v>
      </c>
      <c r="V143" s="22" t="str">
        <f>RISK进展队列GEO回末测序数据整理!F142</f>
        <v>A1b</v>
      </c>
      <c r="W143" s="22" t="str">
        <f>IF(RISK进展队列GEO回末测序数据整理!I142="Macroscopic inflammation","Macro",IF(RISK进展队列GEO回末测序数据整理!I142="Microscopic inflammation","Micro",TRIM(RISK进展队列GEO回末测序数据整理!I142)))</f>
        <v>Macro</v>
      </c>
      <c r="X143" s="22" t="str">
        <f>IF(RISK进展队列GEO回末测序数据整理!J142=1,"Yes",IF(RISK进展队列GEO回末测序数据整理!J142=0,"No","N/A"))</f>
        <v>No</v>
      </c>
      <c r="Y143" s="22">
        <f>IF(Q143="","",IF(COUNTIF($Q$3:Q143,Q143)=1,1,0))</f>
        <v>1</v>
      </c>
      <c r="Z143" s="22">
        <f>IF(Q143="","",IF(COUNTIFS($Q$3:Q143,Q143,$R$3:R143,R143)=1,1,0))</f>
        <v>1</v>
      </c>
    </row>
    <row r="144" spans="16:26" x14ac:dyDescent="0.4">
      <c r="P144" s="22" t="str">
        <f>RISK进展队列GEO回末测序数据整理!A143</f>
        <v>GSM1598549</v>
      </c>
      <c r="Q144" s="22" t="str">
        <f>RISK进展队列GEO回末测序数据整理!B143</f>
        <v>CCFA_Risk_142</v>
      </c>
      <c r="R144" s="22" t="str">
        <f>IF(LOWER(TRIM(RISK进展队列GEO回末测序数据整理!G143))="not ibd","Not IBD",TRIM(RISK进展队列GEO回末测序数据整理!G143))</f>
        <v>CD</v>
      </c>
      <c r="S144" s="22" t="str">
        <f>IF(LOWER(TRIM(RISK进展队列GEO回末测序数据整理!H143))="not ibd","Not IBD",TRIM(RISK进展队列GEO回末测序数据整理!H143))</f>
        <v>iCD</v>
      </c>
      <c r="T144" s="22" t="str">
        <f>IF(RISK进展队列GEO回末测序数据整理!D143="女","女性",IF(RISK进展队列GEO回末测序数据整理!D143="男","男性",TRIM(RISK进展队列GEO回末测序数据整理!D143)))</f>
        <v>男性</v>
      </c>
      <c r="U144" s="22">
        <f>RISK进展队列GEO回末测序数据整理!E143</f>
        <v>6.25</v>
      </c>
      <c r="V144" s="22" t="str">
        <f>RISK进展队列GEO回末测序数据整理!F143</f>
        <v>A1a</v>
      </c>
      <c r="W144" s="22" t="str">
        <f>IF(RISK进展队列GEO回末测序数据整理!I143="Macroscopic inflammation","Macro",IF(RISK进展队列GEO回末测序数据整理!I143="Microscopic inflammation","Micro",TRIM(RISK进展队列GEO回末测序数据整理!I143)))</f>
        <v>Macro</v>
      </c>
      <c r="X144" s="22" t="str">
        <f>IF(RISK进展队列GEO回末测序数据整理!J143=1,"Yes",IF(RISK进展队列GEO回末测序数据整理!J143=0,"No","N/A"))</f>
        <v>Yes</v>
      </c>
      <c r="Y144" s="22">
        <f>IF(Q144="","",IF(COUNTIF($Q$3:Q144,Q144)=1,1,0))</f>
        <v>1</v>
      </c>
      <c r="Z144" s="22">
        <f>IF(Q144="","",IF(COUNTIFS($Q$3:Q144,Q144,$R$3:R144,R144)=1,1,0))</f>
        <v>1</v>
      </c>
    </row>
    <row r="145" spans="16:26" x14ac:dyDescent="0.4">
      <c r="P145" s="22" t="str">
        <f>RISK进展队列GEO回末测序数据整理!A144</f>
        <v>GSM1598550</v>
      </c>
      <c r="Q145" s="22" t="str">
        <f>RISK进展队列GEO回末测序数据整理!B144</f>
        <v>CCFA_Risk_143</v>
      </c>
      <c r="R145" s="22" t="str">
        <f>IF(LOWER(TRIM(RISK进展队列GEO回末测序数据整理!G144))="not ibd","Not IBD",TRIM(RISK进展队列GEO回末测序数据整理!G144))</f>
        <v>CD</v>
      </c>
      <c r="S145" s="22" t="str">
        <f>IF(LOWER(TRIM(RISK进展队列GEO回末测序数据整理!H144))="not ibd","Not IBD",TRIM(RISK进展队列GEO回末测序数据整理!H144))</f>
        <v>iCD</v>
      </c>
      <c r="T145" s="22" t="str">
        <f>IF(RISK进展队列GEO回末测序数据整理!D144="女","女性",IF(RISK进展队列GEO回末测序数据整理!D144="男","男性",TRIM(RISK进展队列GEO回末测序数据整理!D144)))</f>
        <v>女性</v>
      </c>
      <c r="U145" s="22">
        <f>RISK进展队列GEO回末测序数据整理!E144</f>
        <v>10.67</v>
      </c>
      <c r="V145" s="22" t="str">
        <f>RISK进展队列GEO回末测序数据整理!F144</f>
        <v>A1b</v>
      </c>
      <c r="W145" s="22" t="str">
        <f>IF(RISK进展队列GEO回末测序数据整理!I144="Macroscopic inflammation","Macro",IF(RISK进展队列GEO回末测序数据整理!I144="Microscopic inflammation","Micro",TRIM(RISK进展队列GEO回末测序数据整理!I144)))</f>
        <v>Macro</v>
      </c>
      <c r="X145" s="22" t="str">
        <f>IF(RISK进展队列GEO回末测序数据整理!J144=1,"Yes",IF(RISK进展队列GEO回末测序数据整理!J144=0,"No","N/A"))</f>
        <v>Yes</v>
      </c>
      <c r="Y145" s="22">
        <f>IF(Q145="","",IF(COUNTIF($Q$3:Q145,Q145)=1,1,0))</f>
        <v>1</v>
      </c>
      <c r="Z145" s="22">
        <f>IF(Q145="","",IF(COUNTIFS($Q$3:Q145,Q145,$R$3:R145,R145)=1,1,0))</f>
        <v>1</v>
      </c>
    </row>
    <row r="146" spans="16:26" x14ac:dyDescent="0.4">
      <c r="P146" s="22" t="str">
        <f>RISK进展队列GEO回末测序数据整理!A145</f>
        <v>GSM1598551</v>
      </c>
      <c r="Q146" s="22" t="str">
        <f>RISK进展队列GEO回末测序数据整理!B145</f>
        <v>CCFA_Risk_144</v>
      </c>
      <c r="R146" s="22" t="str">
        <f>IF(LOWER(TRIM(RISK进展队列GEO回末测序数据整理!G145))="not ibd","Not IBD",TRIM(RISK进展队列GEO回末测序数据整理!G145))</f>
        <v>UC</v>
      </c>
      <c r="S146" s="22" t="str">
        <f>IF(LOWER(TRIM(RISK进展队列GEO回末测序数据整理!H145))="not ibd","Not IBD",TRIM(RISK进展队列GEO回末测序数据整理!H145))</f>
        <v>UC</v>
      </c>
      <c r="T146" s="22" t="str">
        <f>IF(RISK进展队列GEO回末测序数据整理!D145="女","女性",IF(RISK进展队列GEO回末测序数据整理!D145="男","男性",TRIM(RISK进展队列GEO回末测序数据整理!D145)))</f>
        <v>女性</v>
      </c>
      <c r="U146" s="22">
        <f>RISK进展队列GEO回末测序数据整理!E145</f>
        <v>13.08</v>
      </c>
      <c r="V146" s="22" t="str">
        <f>RISK进展队列GEO回末测序数据整理!F145</f>
        <v>A1b</v>
      </c>
      <c r="W146" s="22" t="str">
        <f>IF(RISK进展队列GEO回末测序数据整理!I145="Macroscopic inflammation","Macro",IF(RISK进展队列GEO回末测序数据整理!I145="Microscopic inflammation","Micro",TRIM(RISK进展队列GEO回末测序数据整理!I145)))</f>
        <v>NA</v>
      </c>
      <c r="X146" s="22" t="str">
        <f>IF(RISK进展队列GEO回末测序数据整理!J145=1,"Yes",IF(RISK进展队列GEO回末测序数据整理!J145=0,"No","N/A"))</f>
        <v>N/A</v>
      </c>
      <c r="Y146" s="22">
        <f>IF(Q146="","",IF(COUNTIF($Q$3:Q146,Q146)=1,1,0))</f>
        <v>1</v>
      </c>
      <c r="Z146" s="22">
        <f>IF(Q146="","",IF(COUNTIFS($Q$3:Q146,Q146,$R$3:R146,R146)=1,1,0))</f>
        <v>1</v>
      </c>
    </row>
    <row r="147" spans="16:26" x14ac:dyDescent="0.4">
      <c r="P147" s="22" t="str">
        <f>RISK进展队列GEO回末测序数据整理!A146</f>
        <v>GSM1598552</v>
      </c>
      <c r="Q147" s="22" t="str">
        <f>RISK进展队列GEO回末测序数据整理!B146</f>
        <v>CCFA_Risk_145</v>
      </c>
      <c r="R147" s="22" t="str">
        <f>IF(LOWER(TRIM(RISK进展队列GEO回末测序数据整理!G146))="not ibd","Not IBD",TRIM(RISK进展队列GEO回末测序数据整理!G146))</f>
        <v>CD</v>
      </c>
      <c r="S147" s="22" t="str">
        <f>IF(LOWER(TRIM(RISK进展队列GEO回末测序数据整理!H146))="not ibd","Not IBD",TRIM(RISK进展队列GEO回末测序数据整理!H146))</f>
        <v>iCD</v>
      </c>
      <c r="T147" s="22" t="str">
        <f>IF(RISK进展队列GEO回末测序数据整理!D146="女","女性",IF(RISK进展队列GEO回末测序数据整理!D146="男","男性",TRIM(RISK进展队列GEO回末测序数据整理!D146)))</f>
        <v>女性</v>
      </c>
      <c r="U147" s="22">
        <f>RISK进展队列GEO回末测序数据整理!E146</f>
        <v>11.25</v>
      </c>
      <c r="V147" s="22" t="str">
        <f>RISK进展队列GEO回末测序数据整理!F146</f>
        <v>A1b</v>
      </c>
      <c r="W147" s="22" t="str">
        <f>IF(RISK进展队列GEO回末测序数据整理!I146="Macroscopic inflammation","Macro",IF(RISK进展队列GEO回末测序数据整理!I146="Microscopic inflammation","Micro",TRIM(RISK进展队列GEO回末测序数据整理!I146)))</f>
        <v>Macro</v>
      </c>
      <c r="X147" s="22" t="str">
        <f>IF(RISK进展队列GEO回末测序数据整理!J146=1,"Yes",IF(RISK进展队列GEO回末测序数据整理!J146=0,"No","N/A"))</f>
        <v>Yes</v>
      </c>
      <c r="Y147" s="22">
        <f>IF(Q147="","",IF(COUNTIF($Q$3:Q147,Q147)=1,1,0))</f>
        <v>1</v>
      </c>
      <c r="Z147" s="22">
        <f>IF(Q147="","",IF(COUNTIFS($Q$3:Q147,Q147,$R$3:R147,R147)=1,1,0))</f>
        <v>1</v>
      </c>
    </row>
    <row r="148" spans="16:26" x14ac:dyDescent="0.4">
      <c r="P148" s="22" t="str">
        <f>RISK进展队列GEO回末测序数据整理!A147</f>
        <v>GSM1598553</v>
      </c>
      <c r="Q148" s="22" t="str">
        <f>RISK进展队列GEO回末测序数据整理!B147</f>
        <v>CCFA_Risk_146</v>
      </c>
      <c r="R148" s="22" t="str">
        <f>IF(LOWER(TRIM(RISK进展队列GEO回末测序数据整理!G147))="not ibd","Not IBD",TRIM(RISK进展队列GEO回末测序数据整理!G147))</f>
        <v>CD</v>
      </c>
      <c r="S148" s="22" t="str">
        <f>IF(LOWER(TRIM(RISK进展队列GEO回末测序数据整理!H147))="not ibd","Not IBD",TRIM(RISK进展队列GEO回末测序数据整理!H147))</f>
        <v>iCD</v>
      </c>
      <c r="T148" s="22" t="str">
        <f>IF(RISK进展队列GEO回末测序数据整理!D147="女","女性",IF(RISK进展队列GEO回末测序数据整理!D147="男","男性",TRIM(RISK进展队列GEO回末测序数据整理!D147)))</f>
        <v>女性</v>
      </c>
      <c r="U148" s="22">
        <f>RISK进展队列GEO回末测序数据整理!E147</f>
        <v>7.25</v>
      </c>
      <c r="V148" s="22" t="str">
        <f>RISK进展队列GEO回末测序数据整理!F147</f>
        <v>A1a</v>
      </c>
      <c r="W148" s="22" t="str">
        <f>IF(RISK进展队列GEO回末测序数据整理!I147="Macroscopic inflammation","Macro",IF(RISK进展队列GEO回末测序数据整理!I147="Microscopic inflammation","Micro",TRIM(RISK进展队列GEO回末测序数据整理!I147)))</f>
        <v>Macro</v>
      </c>
      <c r="X148" s="22" t="str">
        <f>IF(RISK进展队列GEO回末测序数据整理!J147=1,"Yes",IF(RISK进展队列GEO回末测序数据整理!J147=0,"No","N/A"))</f>
        <v>Yes</v>
      </c>
      <c r="Y148" s="22">
        <f>IF(Q148="","",IF(COUNTIF($Q$3:Q148,Q148)=1,1,0))</f>
        <v>1</v>
      </c>
      <c r="Z148" s="22">
        <f>IF(Q148="","",IF(COUNTIFS($Q$3:Q148,Q148,$R$3:R148,R148)=1,1,0))</f>
        <v>1</v>
      </c>
    </row>
    <row r="149" spans="16:26" x14ac:dyDescent="0.4">
      <c r="P149" s="22" t="str">
        <f>RISK进展队列GEO回末测序数据整理!A148</f>
        <v>GSM1598554</v>
      </c>
      <c r="Q149" s="22" t="str">
        <f>RISK进展队列GEO回末测序数据整理!B148</f>
        <v>CCFA_Risk_147</v>
      </c>
      <c r="R149" s="22" t="str">
        <f>IF(LOWER(TRIM(RISK进展队列GEO回末测序数据整理!G148))="not ibd","Not IBD",TRIM(RISK进展队列GEO回末测序数据整理!G148))</f>
        <v>CD</v>
      </c>
      <c r="S149" s="22" t="str">
        <f>IF(LOWER(TRIM(RISK进展队列GEO回末测序数据整理!H148))="not ibd","Not IBD",TRIM(RISK进展队列GEO回末测序数据整理!H148))</f>
        <v>iCD</v>
      </c>
      <c r="T149" s="22" t="str">
        <f>IF(RISK进展队列GEO回末测序数据整理!D148="女","女性",IF(RISK进展队列GEO回末测序数据整理!D148="男","男性",TRIM(RISK进展队列GEO回末测序数据整理!D148)))</f>
        <v>男性</v>
      </c>
      <c r="U149" s="22">
        <f>RISK进展队列GEO回末测序数据整理!E148</f>
        <v>11.08</v>
      </c>
      <c r="V149" s="22" t="str">
        <f>RISK进展队列GEO回末测序数据整理!F148</f>
        <v>A1b</v>
      </c>
      <c r="W149" s="22" t="str">
        <f>IF(RISK进展队列GEO回末测序数据整理!I148="Macroscopic inflammation","Macro",IF(RISK进展队列GEO回末测序数据整理!I148="Microscopic inflammation","Micro",TRIM(RISK进展队列GEO回末测序数据整理!I148)))</f>
        <v>Macro</v>
      </c>
      <c r="X149" s="22" t="str">
        <f>IF(RISK进展队列GEO回末测序数据整理!J148=1,"Yes",IF(RISK进展队列GEO回末测序数据整理!J148=0,"No","N/A"))</f>
        <v>Yes</v>
      </c>
      <c r="Y149" s="22">
        <f>IF(Q149="","",IF(COUNTIF($Q$3:Q149,Q149)=1,1,0))</f>
        <v>1</v>
      </c>
      <c r="Z149" s="22">
        <f>IF(Q149="","",IF(COUNTIFS($Q$3:Q149,Q149,$R$3:R149,R149)=1,1,0))</f>
        <v>1</v>
      </c>
    </row>
    <row r="150" spans="16:26" x14ac:dyDescent="0.4">
      <c r="P150" s="22" t="str">
        <f>RISK进展队列GEO回末测序数据整理!A149</f>
        <v>GSM1598555</v>
      </c>
      <c r="Q150" s="22" t="str">
        <f>RISK进展队列GEO回末测序数据整理!B149</f>
        <v>CCFA_Risk_148</v>
      </c>
      <c r="R150" s="22" t="str">
        <f>IF(LOWER(TRIM(RISK进展队列GEO回末测序数据整理!G149))="not ibd","Not IBD",TRIM(RISK进展队列GEO回末测序数据整理!G149))</f>
        <v>CD</v>
      </c>
      <c r="S150" s="22" t="str">
        <f>IF(LOWER(TRIM(RISK进展队列GEO回末测序数据整理!H149))="not ibd","Not IBD",TRIM(RISK进展队列GEO回末测序数据整理!H149))</f>
        <v>iCD</v>
      </c>
      <c r="T150" s="22" t="str">
        <f>IF(RISK进展队列GEO回末测序数据整理!D149="女","女性",IF(RISK进展队列GEO回末测序数据整理!D149="男","男性",TRIM(RISK进展队列GEO回末测序数据整理!D149)))</f>
        <v>男性</v>
      </c>
      <c r="U150" s="22">
        <f>RISK进展队列GEO回末测序数据整理!E149</f>
        <v>8.83</v>
      </c>
      <c r="V150" s="22" t="str">
        <f>RISK进展队列GEO回末测序数据整理!F149</f>
        <v>A1a</v>
      </c>
      <c r="W150" s="22" t="str">
        <f>IF(RISK进展队列GEO回末测序数据整理!I149="Macroscopic inflammation","Macro",IF(RISK进展队列GEO回末测序数据整理!I149="Microscopic inflammation","Micro",TRIM(RISK进展队列GEO回末测序数据整理!I149)))</f>
        <v>Macro</v>
      </c>
      <c r="X150" s="22" t="str">
        <f>IF(RISK进展队列GEO回末测序数据整理!J149=1,"Yes",IF(RISK进展队列GEO回末测序数据整理!J149=0,"No","N/A"))</f>
        <v>Yes</v>
      </c>
      <c r="Y150" s="22">
        <f>IF(Q150="","",IF(COUNTIF($Q$3:Q150,Q150)=1,1,0))</f>
        <v>1</v>
      </c>
      <c r="Z150" s="22">
        <f>IF(Q150="","",IF(COUNTIFS($Q$3:Q150,Q150,$R$3:R150,R150)=1,1,0))</f>
        <v>1</v>
      </c>
    </row>
    <row r="151" spans="16:26" x14ac:dyDescent="0.4">
      <c r="P151" s="22" t="str">
        <f>RISK进展队列GEO回末测序数据整理!A150</f>
        <v>GSM1598556</v>
      </c>
      <c r="Q151" s="22" t="str">
        <f>RISK进展队列GEO回末测序数据整理!B150</f>
        <v>CCFA_Risk_149</v>
      </c>
      <c r="R151" s="22" t="str">
        <f>IF(LOWER(TRIM(RISK进展队列GEO回末测序数据整理!G150))="not ibd","Not IBD",TRIM(RISK进展队列GEO回末测序数据整理!G150))</f>
        <v>CD</v>
      </c>
      <c r="S151" s="22" t="str">
        <f>IF(LOWER(TRIM(RISK进展队列GEO回末测序数据整理!H150))="not ibd","Not IBD",TRIM(RISK进展队列GEO回末测序数据整理!H150))</f>
        <v>iCD</v>
      </c>
      <c r="T151" s="22" t="str">
        <f>IF(RISK进展队列GEO回末测序数据整理!D150="女","女性",IF(RISK进展队列GEO回末测序数据整理!D150="男","男性",TRIM(RISK进展队列GEO回末测序数据整理!D150)))</f>
        <v>男性</v>
      </c>
      <c r="U151" s="22">
        <f>RISK进展队列GEO回末测序数据整理!E150</f>
        <v>11.17</v>
      </c>
      <c r="V151" s="22" t="str">
        <f>RISK进展队列GEO回末测序数据整理!F150</f>
        <v>A1b</v>
      </c>
      <c r="W151" s="22" t="str">
        <f>IF(RISK进展队列GEO回末测序数据整理!I150="Macroscopic inflammation","Macro",IF(RISK进展队列GEO回末测序数据整理!I150="Microscopic inflammation","Micro",TRIM(RISK进展队列GEO回末测序数据整理!I150)))</f>
        <v>Macro</v>
      </c>
      <c r="X151" s="22" t="str">
        <f>IF(RISK进展队列GEO回末测序数据整理!J150=1,"Yes",IF(RISK进展队列GEO回末测序数据整理!J150=0,"No","N/A"))</f>
        <v>No</v>
      </c>
      <c r="Y151" s="22">
        <f>IF(Q151="","",IF(COUNTIF($Q$3:Q151,Q151)=1,1,0))</f>
        <v>1</v>
      </c>
      <c r="Z151" s="22">
        <f>IF(Q151="","",IF(COUNTIFS($Q$3:Q151,Q151,$R$3:R151,R151)=1,1,0))</f>
        <v>1</v>
      </c>
    </row>
    <row r="152" spans="16:26" x14ac:dyDescent="0.4">
      <c r="P152" s="22" t="str">
        <f>RISK进展队列GEO回末测序数据整理!A151</f>
        <v>GSM1598557</v>
      </c>
      <c r="Q152" s="22" t="str">
        <f>RISK进展队列GEO回末测序数据整理!B151</f>
        <v>CCFA_Risk_150</v>
      </c>
      <c r="R152" s="22" t="str">
        <f>IF(LOWER(TRIM(RISK进展队列GEO回末测序数据整理!G151))="not ibd","Not IBD",TRIM(RISK进展队列GEO回末测序数据整理!G151))</f>
        <v>CD</v>
      </c>
      <c r="S152" s="22" t="str">
        <f>IF(LOWER(TRIM(RISK进展队列GEO回末测序数据整理!H151))="not ibd","Not IBD",TRIM(RISK进展队列GEO回末测序数据整理!H151))</f>
        <v>iCD</v>
      </c>
      <c r="T152" s="22" t="str">
        <f>IF(RISK进展队列GEO回末测序数据整理!D151="女","女性",IF(RISK进展队列GEO回末测序数据整理!D151="男","男性",TRIM(RISK进展队列GEO回末测序数据整理!D151)))</f>
        <v>男性</v>
      </c>
      <c r="U152" s="22">
        <f>RISK进展队列GEO回末测序数据整理!E151</f>
        <v>10.67</v>
      </c>
      <c r="V152" s="22" t="str">
        <f>RISK进展队列GEO回末测序数据整理!F151</f>
        <v>A1b</v>
      </c>
      <c r="W152" s="22" t="str">
        <f>IF(RISK进展队列GEO回末测序数据整理!I151="Macroscopic inflammation","Macro",IF(RISK进展队列GEO回末测序数据整理!I151="Microscopic inflammation","Micro",TRIM(RISK进展队列GEO回末测序数据整理!I151)))</f>
        <v>Macro</v>
      </c>
      <c r="X152" s="22" t="str">
        <f>IF(RISK进展队列GEO回末测序数据整理!J151=1,"Yes",IF(RISK进展队列GEO回末测序数据整理!J151=0,"No","N/A"))</f>
        <v>Yes</v>
      </c>
      <c r="Y152" s="22">
        <f>IF(Q152="","",IF(COUNTIF($Q$3:Q152,Q152)=1,1,0))</f>
        <v>1</v>
      </c>
      <c r="Z152" s="22">
        <f>IF(Q152="","",IF(COUNTIFS($Q$3:Q152,Q152,$R$3:R152,R152)=1,1,0))</f>
        <v>1</v>
      </c>
    </row>
    <row r="153" spans="16:26" x14ac:dyDescent="0.4">
      <c r="P153" s="22" t="str">
        <f>RISK进展队列GEO回末测序数据整理!A152</f>
        <v>GSM1598558</v>
      </c>
      <c r="Q153" s="22" t="str">
        <f>RISK进展队列GEO回末测序数据整理!B152</f>
        <v>CCFA_Risk_151</v>
      </c>
      <c r="R153" s="22" t="str">
        <f>IF(LOWER(TRIM(RISK进展队列GEO回末测序数据整理!G152))="not ibd","Not IBD",TRIM(RISK进展队列GEO回末测序数据整理!G152))</f>
        <v>UC</v>
      </c>
      <c r="S153" s="22" t="str">
        <f>IF(LOWER(TRIM(RISK进展队列GEO回末测序数据整理!H152))="not ibd","Not IBD",TRIM(RISK进展队列GEO回末测序数据整理!H152))</f>
        <v>UC</v>
      </c>
      <c r="T153" s="22" t="str">
        <f>IF(RISK进展队列GEO回末测序数据整理!D152="女","女性",IF(RISK进展队列GEO回末测序数据整理!D152="男","男性",TRIM(RISK进展队列GEO回末测序数据整理!D152)))</f>
        <v>女性</v>
      </c>
      <c r="U153" s="22">
        <f>RISK进展队列GEO回末测序数据整理!E152</f>
        <v>6.75</v>
      </c>
      <c r="V153" s="22" t="str">
        <f>RISK进展队列GEO回末测序数据整理!F152</f>
        <v>A1a</v>
      </c>
      <c r="W153" s="22" t="str">
        <f>IF(RISK进展队列GEO回末测序数据整理!I152="Macroscopic inflammation","Macro",IF(RISK进展队列GEO回末测序数据整理!I152="Microscopic inflammation","Micro",TRIM(RISK进展队列GEO回末测序数据整理!I152)))</f>
        <v>NA</v>
      </c>
      <c r="X153" s="22" t="str">
        <f>IF(RISK进展队列GEO回末测序数据整理!J152=1,"Yes",IF(RISK进展队列GEO回末测序数据整理!J152=0,"No","N/A"))</f>
        <v>N/A</v>
      </c>
      <c r="Y153" s="22">
        <f>IF(Q153="","",IF(COUNTIF($Q$3:Q153,Q153)=1,1,0))</f>
        <v>1</v>
      </c>
      <c r="Z153" s="22">
        <f>IF(Q153="","",IF(COUNTIFS($Q$3:Q153,Q153,$R$3:R153,R153)=1,1,0))</f>
        <v>1</v>
      </c>
    </row>
    <row r="154" spans="16:26" x14ac:dyDescent="0.4">
      <c r="P154" s="22" t="str">
        <f>RISK进展队列GEO回末测序数据整理!A153</f>
        <v>GSM1598559</v>
      </c>
      <c r="Q154" s="22" t="str">
        <f>RISK进展队列GEO回末测序数据整理!B153</f>
        <v>CCFA_Risk_152</v>
      </c>
      <c r="R154" s="22" t="str">
        <f>IF(LOWER(TRIM(RISK进展队列GEO回末测序数据整理!G153))="not ibd","Not IBD",TRIM(RISK进展队列GEO回末测序数据整理!G153))</f>
        <v>UC</v>
      </c>
      <c r="S154" s="22" t="str">
        <f>IF(LOWER(TRIM(RISK进展队列GEO回末测序数据整理!H153))="not ibd","Not IBD",TRIM(RISK进展队列GEO回末测序数据整理!H153))</f>
        <v>UC</v>
      </c>
      <c r="T154" s="22" t="str">
        <f>IF(RISK进展队列GEO回末测序数据整理!D153="女","女性",IF(RISK进展队列GEO回末测序数据整理!D153="男","男性",TRIM(RISK进展队列GEO回末测序数据整理!D153)))</f>
        <v>男性</v>
      </c>
      <c r="U154" s="22">
        <f>RISK进展队列GEO回末测序数据整理!E153</f>
        <v>9.67</v>
      </c>
      <c r="V154" s="22" t="str">
        <f>RISK进展队列GEO回末测序数据整理!F153</f>
        <v>A1a</v>
      </c>
      <c r="W154" s="22" t="str">
        <f>IF(RISK进展队列GEO回末测序数据整理!I153="Macroscopic inflammation","Macro",IF(RISK进展队列GEO回末测序数据整理!I153="Microscopic inflammation","Micro",TRIM(RISK进展队列GEO回末测序数据整理!I153)))</f>
        <v>NA</v>
      </c>
      <c r="X154" s="22" t="str">
        <f>IF(RISK进展队列GEO回末测序数据整理!J153=1,"Yes",IF(RISK进展队列GEO回末测序数据整理!J153=0,"No","N/A"))</f>
        <v>N/A</v>
      </c>
      <c r="Y154" s="22">
        <f>IF(Q154="","",IF(COUNTIF($Q$3:Q154,Q154)=1,1,0))</f>
        <v>1</v>
      </c>
      <c r="Z154" s="22">
        <f>IF(Q154="","",IF(COUNTIFS($Q$3:Q154,Q154,$R$3:R154,R154)=1,1,0))</f>
        <v>1</v>
      </c>
    </row>
    <row r="155" spans="16:26" x14ac:dyDescent="0.4">
      <c r="P155" s="22" t="str">
        <f>RISK进展队列GEO回末测序数据整理!A154</f>
        <v>GSM1598560</v>
      </c>
      <c r="Q155" s="22" t="str">
        <f>RISK进展队列GEO回末测序数据整理!B154</f>
        <v>CCFA_Risk_153</v>
      </c>
      <c r="R155" s="22" t="str">
        <f>IF(LOWER(TRIM(RISK进展队列GEO回末测序数据整理!G154))="not ibd","Not IBD",TRIM(RISK进展队列GEO回末测序数据整理!G154))</f>
        <v>UC</v>
      </c>
      <c r="S155" s="22" t="str">
        <f>IF(LOWER(TRIM(RISK进展队列GEO回末测序数据整理!H154))="not ibd","Not IBD",TRIM(RISK进展队列GEO回末测序数据整理!H154))</f>
        <v>UC</v>
      </c>
      <c r="T155" s="22" t="str">
        <f>IF(RISK进展队列GEO回末测序数据整理!D154="女","女性",IF(RISK进展队列GEO回末测序数据整理!D154="男","男性",TRIM(RISK进展队列GEO回末测序数据整理!D154)))</f>
        <v>男性</v>
      </c>
      <c r="U155" s="22">
        <f>RISK进展队列GEO回末测序数据整理!E154</f>
        <v>8.5</v>
      </c>
      <c r="V155" s="22" t="str">
        <f>RISK进展队列GEO回末测序数据整理!F154</f>
        <v>A1a</v>
      </c>
      <c r="W155" s="22" t="str">
        <f>IF(RISK进展队列GEO回末测序数据整理!I154="Macroscopic inflammation","Macro",IF(RISK进展队列GEO回末测序数据整理!I154="Microscopic inflammation","Micro",TRIM(RISK进展队列GEO回末测序数据整理!I154)))</f>
        <v>NA</v>
      </c>
      <c r="X155" s="22" t="str">
        <f>IF(RISK进展队列GEO回末测序数据整理!J154=1,"Yes",IF(RISK进展队列GEO回末测序数据整理!J154=0,"No","N/A"))</f>
        <v>N/A</v>
      </c>
      <c r="Y155" s="22">
        <f>IF(Q155="","",IF(COUNTIF($Q$3:Q155,Q155)=1,1,0))</f>
        <v>1</v>
      </c>
      <c r="Z155" s="22">
        <f>IF(Q155="","",IF(COUNTIFS($Q$3:Q155,Q155,$R$3:R155,R155)=1,1,0))</f>
        <v>1</v>
      </c>
    </row>
    <row r="156" spans="16:26" x14ac:dyDescent="0.4">
      <c r="P156" s="22" t="str">
        <f>RISK进展队列GEO回末测序数据整理!A155</f>
        <v>GSM1598561</v>
      </c>
      <c r="Q156" s="22" t="str">
        <f>RISK进展队列GEO回末测序数据整理!B155</f>
        <v>CCFA_Risk_154</v>
      </c>
      <c r="R156" s="22" t="str">
        <f>IF(LOWER(TRIM(RISK进展队列GEO回末测序数据整理!G155))="not ibd","Not IBD",TRIM(RISK进展队列GEO回末测序数据整理!G155))</f>
        <v>UC</v>
      </c>
      <c r="S156" s="22" t="str">
        <f>IF(LOWER(TRIM(RISK进展队列GEO回末测序数据整理!H155))="not ibd","Not IBD",TRIM(RISK进展队列GEO回末测序数据整理!H155))</f>
        <v>UC</v>
      </c>
      <c r="T156" s="22" t="str">
        <f>IF(RISK进展队列GEO回末测序数据整理!D155="女","女性",IF(RISK进展队列GEO回末测序数据整理!D155="男","男性",TRIM(RISK进展队列GEO回末测序数据整理!D155)))</f>
        <v>女性</v>
      </c>
      <c r="U156" s="22">
        <f>RISK进展队列GEO回末测序数据整理!E155</f>
        <v>14.42</v>
      </c>
      <c r="V156" s="22" t="str">
        <f>RISK进展队列GEO回末测序数据整理!F155</f>
        <v>A1b</v>
      </c>
      <c r="W156" s="22" t="str">
        <f>IF(RISK进展队列GEO回末测序数据整理!I155="Macroscopic inflammation","Macro",IF(RISK进展队列GEO回末测序数据整理!I155="Microscopic inflammation","Micro",TRIM(RISK进展队列GEO回末测序数据整理!I155)))</f>
        <v>NA</v>
      </c>
      <c r="X156" s="22" t="str">
        <f>IF(RISK进展队列GEO回末测序数据整理!J155=1,"Yes",IF(RISK进展队列GEO回末测序数据整理!J155=0,"No","N/A"))</f>
        <v>N/A</v>
      </c>
      <c r="Y156" s="22">
        <f>IF(Q156="","",IF(COUNTIF($Q$3:Q156,Q156)=1,1,0))</f>
        <v>1</v>
      </c>
      <c r="Z156" s="22">
        <f>IF(Q156="","",IF(COUNTIFS($Q$3:Q156,Q156,$R$3:R156,R156)=1,1,0))</f>
        <v>1</v>
      </c>
    </row>
    <row r="157" spans="16:26" x14ac:dyDescent="0.4">
      <c r="P157" s="22" t="str">
        <f>RISK进展队列GEO回末测序数据整理!A156</f>
        <v>GSM1598562</v>
      </c>
      <c r="Q157" s="22" t="str">
        <f>RISK进展队列GEO回末测序数据整理!B156</f>
        <v>CCFA_Risk_155</v>
      </c>
      <c r="R157" s="22" t="str">
        <f>IF(LOWER(TRIM(RISK进展队列GEO回末测序数据整理!G156))="not ibd","Not IBD",TRIM(RISK进展队列GEO回末测序数据整理!G156))</f>
        <v>UC</v>
      </c>
      <c r="S157" s="22" t="str">
        <f>IF(LOWER(TRIM(RISK进展队列GEO回末测序数据整理!H156))="not ibd","Not IBD",TRIM(RISK进展队列GEO回末测序数据整理!H156))</f>
        <v>UC</v>
      </c>
      <c r="T157" s="22" t="str">
        <f>IF(RISK进展队列GEO回末测序数据整理!D156="女","女性",IF(RISK进展队列GEO回末测序数据整理!D156="男","男性",TRIM(RISK进展队列GEO回末测序数据整理!D156)))</f>
        <v>女性</v>
      </c>
      <c r="U157" s="22">
        <f>RISK进展队列GEO回末测序数据整理!E156</f>
        <v>13.17</v>
      </c>
      <c r="V157" s="22" t="str">
        <f>RISK进展队列GEO回末测序数据整理!F156</f>
        <v>A1b</v>
      </c>
      <c r="W157" s="22" t="str">
        <f>IF(RISK进展队列GEO回末测序数据整理!I156="Macroscopic inflammation","Macro",IF(RISK进展队列GEO回末测序数据整理!I156="Microscopic inflammation","Micro",TRIM(RISK进展队列GEO回末测序数据整理!I156)))</f>
        <v>NA</v>
      </c>
      <c r="X157" s="22" t="str">
        <f>IF(RISK进展队列GEO回末测序数据整理!J156=1,"Yes",IF(RISK进展队列GEO回末测序数据整理!J156=0,"No","N/A"))</f>
        <v>N/A</v>
      </c>
      <c r="Y157" s="22">
        <f>IF(Q157="","",IF(COUNTIF($Q$3:Q157,Q157)=1,1,0))</f>
        <v>1</v>
      </c>
      <c r="Z157" s="22">
        <f>IF(Q157="","",IF(COUNTIFS($Q$3:Q157,Q157,$R$3:R157,R157)=1,1,0))</f>
        <v>1</v>
      </c>
    </row>
    <row r="158" spans="16:26" x14ac:dyDescent="0.4">
      <c r="P158" s="22" t="str">
        <f>RISK进展队列GEO回末测序数据整理!A157</f>
        <v>GSM1598563</v>
      </c>
      <c r="Q158" s="22" t="str">
        <f>RISK进展队列GEO回末测序数据整理!B157</f>
        <v>CCFA_Risk_156</v>
      </c>
      <c r="R158" s="22" t="str">
        <f>IF(LOWER(TRIM(RISK进展队列GEO回末测序数据整理!G157))="not ibd","Not IBD",TRIM(RISK进展队列GEO回末测序数据整理!G157))</f>
        <v>CD</v>
      </c>
      <c r="S158" s="22" t="str">
        <f>IF(LOWER(TRIM(RISK进展队列GEO回末测序数据整理!H157))="not ibd","Not IBD",TRIM(RISK进展队列GEO回末测序数据整理!H157))</f>
        <v>cCD</v>
      </c>
      <c r="T158" s="22" t="str">
        <f>IF(RISK进展队列GEO回末测序数据整理!D157="女","女性",IF(RISK进展队列GEO回末测序数据整理!D157="男","男性",TRIM(RISK进展队列GEO回末测序数据整理!D157)))</f>
        <v>女性</v>
      </c>
      <c r="U158" s="22">
        <f>RISK进展队列GEO回末测序数据整理!E157</f>
        <v>6.75</v>
      </c>
      <c r="V158" s="22" t="str">
        <f>RISK进展队列GEO回末测序数据整理!F157</f>
        <v>A1a</v>
      </c>
      <c r="W158" s="22" t="str">
        <f>IF(RISK进展队列GEO回末测序数据整理!I157="Macroscopic inflammation","Macro",IF(RISK进展队列GEO回末测序数据整理!I157="Microscopic inflammation","Micro",TRIM(RISK进展队列GEO回末测序数据整理!I157)))</f>
        <v>Normal</v>
      </c>
      <c r="X158" s="22" t="str">
        <f>IF(RISK进展队列GEO回末测序数据整理!J157=1,"Yes",IF(RISK进展队列GEO回末测序数据整理!J157=0,"No","N/A"))</f>
        <v>No</v>
      </c>
      <c r="Y158" s="22">
        <f>IF(Q158="","",IF(COUNTIF($Q$3:Q158,Q158)=1,1,0))</f>
        <v>1</v>
      </c>
      <c r="Z158" s="22">
        <f>IF(Q158="","",IF(COUNTIFS($Q$3:Q158,Q158,$R$3:R158,R158)=1,1,0))</f>
        <v>1</v>
      </c>
    </row>
    <row r="159" spans="16:26" x14ac:dyDescent="0.4">
      <c r="P159" s="22" t="str">
        <f>RISK进展队列GEO回末测序数据整理!A158</f>
        <v>GSM1598564</v>
      </c>
      <c r="Q159" s="22" t="str">
        <f>RISK进展队列GEO回末测序数据整理!B158</f>
        <v>CCFA_Risk_157</v>
      </c>
      <c r="R159" s="22" t="str">
        <f>IF(LOWER(TRIM(RISK进展队列GEO回末测序数据整理!G158))="not ibd","Not IBD",TRIM(RISK进展队列GEO回末测序数据整理!G158))</f>
        <v>CD</v>
      </c>
      <c r="S159" s="22" t="str">
        <f>IF(LOWER(TRIM(RISK进展队列GEO回末测序数据整理!H158))="not ibd","Not IBD",TRIM(RISK进展队列GEO回末测序数据整理!H158))</f>
        <v>cCD</v>
      </c>
      <c r="T159" s="22" t="str">
        <f>IF(RISK进展队列GEO回末测序数据整理!D158="女","女性",IF(RISK进展队列GEO回末测序数据整理!D158="男","男性",TRIM(RISK进展队列GEO回末测序数据整理!D158)))</f>
        <v>女性</v>
      </c>
      <c r="U159" s="22">
        <f>RISK进展队列GEO回末测序数据整理!E158</f>
        <v>8.83</v>
      </c>
      <c r="V159" s="22" t="str">
        <f>RISK进展队列GEO回末测序数据整理!F158</f>
        <v>A1a</v>
      </c>
      <c r="W159" s="22" t="str">
        <f>IF(RISK进展队列GEO回末测序数据整理!I158="Macroscopic inflammation","Macro",IF(RISK进展队列GEO回末测序数据整理!I158="Microscopic inflammation","Micro",TRIM(RISK进展队列GEO回末测序数据整理!I158)))</f>
        <v>Micro</v>
      </c>
      <c r="X159" s="22" t="str">
        <f>IF(RISK进展队列GEO回末测序数据整理!J158=1,"Yes",IF(RISK进展队列GEO回末测序数据整理!J158=0,"No","N/A"))</f>
        <v>No</v>
      </c>
      <c r="Y159" s="22">
        <f>IF(Q159="","",IF(COUNTIF($Q$3:Q159,Q159)=1,1,0))</f>
        <v>1</v>
      </c>
      <c r="Z159" s="22">
        <f>IF(Q159="","",IF(COUNTIFS($Q$3:Q159,Q159,$R$3:R159,R159)=1,1,0))</f>
        <v>1</v>
      </c>
    </row>
    <row r="160" spans="16:26" x14ac:dyDescent="0.4">
      <c r="P160" s="22" t="str">
        <f>RISK进展队列GEO回末测序数据整理!A159</f>
        <v>GSM1598565</v>
      </c>
      <c r="Q160" s="22" t="str">
        <f>RISK进展队列GEO回末测序数据整理!B159</f>
        <v>CCFA_Risk_158</v>
      </c>
      <c r="R160" s="22" t="str">
        <f>IF(LOWER(TRIM(RISK进展队列GEO回末测序数据整理!G159))="not ibd","Not IBD",TRIM(RISK进展队列GEO回末测序数据整理!G159))</f>
        <v>CD</v>
      </c>
      <c r="S160" s="22" t="str">
        <f>IF(LOWER(TRIM(RISK进展队列GEO回末测序数据整理!H159))="not ibd","Not IBD",TRIM(RISK进展队列GEO回末测序数据整理!H159))</f>
        <v>cCD</v>
      </c>
      <c r="T160" s="22" t="str">
        <f>IF(RISK进展队列GEO回末测序数据整理!D159="女","女性",IF(RISK进展队列GEO回末测序数据整理!D159="男","男性",TRIM(RISK进展队列GEO回末测序数据整理!D159)))</f>
        <v>女性</v>
      </c>
      <c r="U160" s="22">
        <f>RISK进展队列GEO回末测序数据整理!E159</f>
        <v>7.83</v>
      </c>
      <c r="V160" s="22" t="str">
        <f>RISK进展队列GEO回末测序数据整理!F159</f>
        <v>A1a</v>
      </c>
      <c r="W160" s="22" t="str">
        <f>IF(RISK进展队列GEO回末测序数据整理!I159="Macroscopic inflammation","Macro",IF(RISK进展队列GEO回末测序数据整理!I159="Microscopic inflammation","Micro",TRIM(RISK进展队列GEO回末测序数据整理!I159)))</f>
        <v>Normal</v>
      </c>
      <c r="X160" s="22" t="str">
        <f>IF(RISK进展队列GEO回末测序数据整理!J159=1,"Yes",IF(RISK进展队列GEO回末测序数据整理!J159=0,"No","N/A"))</f>
        <v>No</v>
      </c>
      <c r="Y160" s="22">
        <f>IF(Q160="","",IF(COUNTIF($Q$3:Q160,Q160)=1,1,0))</f>
        <v>1</v>
      </c>
      <c r="Z160" s="22">
        <f>IF(Q160="","",IF(COUNTIFS($Q$3:Q160,Q160,$R$3:R160,R160)=1,1,0))</f>
        <v>1</v>
      </c>
    </row>
    <row r="161" spans="16:26" x14ac:dyDescent="0.4">
      <c r="P161" s="22" t="str">
        <f>RISK进展队列GEO回末测序数据整理!A160</f>
        <v>GSM1598566</v>
      </c>
      <c r="Q161" s="22" t="str">
        <f>RISK进展队列GEO回末测序数据整理!B160</f>
        <v>CCFA_Risk_159</v>
      </c>
      <c r="R161" s="22" t="str">
        <f>IF(LOWER(TRIM(RISK进展队列GEO回末测序数据整理!G160))="not ibd","Not IBD",TRIM(RISK进展队列GEO回末测序数据整理!G160))</f>
        <v>CD</v>
      </c>
      <c r="S161" s="22" t="str">
        <f>IF(LOWER(TRIM(RISK进展队列GEO回末测序数据整理!H160))="not ibd","Not IBD",TRIM(RISK进展队列GEO回末测序数据整理!H160))</f>
        <v>cCD</v>
      </c>
      <c r="T161" s="22" t="str">
        <f>IF(RISK进展队列GEO回末测序数据整理!D160="女","女性",IF(RISK进展队列GEO回末测序数据整理!D160="男","男性",TRIM(RISK进展队列GEO回末测序数据整理!D160)))</f>
        <v>女性</v>
      </c>
      <c r="U161" s="22">
        <f>RISK进展队列GEO回末测序数据整理!E160</f>
        <v>11.92</v>
      </c>
      <c r="V161" s="22" t="str">
        <f>RISK进展队列GEO回末测序数据整理!F160</f>
        <v>A1b</v>
      </c>
      <c r="W161" s="22" t="str">
        <f>IF(RISK进展队列GEO回末测序数据整理!I160="Macroscopic inflammation","Macro",IF(RISK进展队列GEO回末测序数据整理!I160="Microscopic inflammation","Micro",TRIM(RISK进展队列GEO回末测序数据整理!I160)))</f>
        <v>Micro</v>
      </c>
      <c r="X161" s="22" t="str">
        <f>IF(RISK进展队列GEO回末测序数据整理!J160=1,"Yes",IF(RISK进展队列GEO回末测序数据整理!J160=0,"No","N/A"))</f>
        <v>No</v>
      </c>
      <c r="Y161" s="22">
        <f>IF(Q161="","",IF(COUNTIF($Q$3:Q161,Q161)=1,1,0))</f>
        <v>1</v>
      </c>
      <c r="Z161" s="22">
        <f>IF(Q161="","",IF(COUNTIFS($Q$3:Q161,Q161,$R$3:R161,R161)=1,1,0))</f>
        <v>1</v>
      </c>
    </row>
    <row r="162" spans="16:26" x14ac:dyDescent="0.4">
      <c r="P162" s="22" t="str">
        <f>RISK进展队列GEO回末测序数据整理!A161</f>
        <v>GSM1598567</v>
      </c>
      <c r="Q162" s="22" t="str">
        <f>RISK进展队列GEO回末测序数据整理!B161</f>
        <v>CCFA_Risk_160</v>
      </c>
      <c r="R162" s="22" t="str">
        <f>IF(LOWER(TRIM(RISK进展队列GEO回末测序数据整理!G161))="not ibd","Not IBD",TRIM(RISK进展队列GEO回末测序数据整理!G161))</f>
        <v>CD</v>
      </c>
      <c r="S162" s="22" t="str">
        <f>IF(LOWER(TRIM(RISK进展队列GEO回末测序数据整理!H161))="not ibd","Not IBD",TRIM(RISK进展队列GEO回末测序数据整理!H161))</f>
        <v>cCD</v>
      </c>
      <c r="T162" s="22" t="str">
        <f>IF(RISK进展队列GEO回末测序数据整理!D161="女","女性",IF(RISK进展队列GEO回末测序数据整理!D161="男","男性",TRIM(RISK进展队列GEO回末测序数据整理!D161)))</f>
        <v>男性</v>
      </c>
      <c r="U162" s="22">
        <f>RISK进展队列GEO回末测序数据整理!E161</f>
        <v>12.58</v>
      </c>
      <c r="V162" s="22" t="str">
        <f>RISK进展队列GEO回末测序数据整理!F161</f>
        <v>A1b</v>
      </c>
      <c r="W162" s="22" t="str">
        <f>IF(RISK进展队列GEO回末测序数据整理!I161="Macroscopic inflammation","Macro",IF(RISK进展队列GEO回末测序数据整理!I161="Microscopic inflammation","Micro",TRIM(RISK进展队列GEO回末测序数据整理!I161)))</f>
        <v>Micro</v>
      </c>
      <c r="X162" s="22" t="str">
        <f>IF(RISK进展队列GEO回末测序数据整理!J161=1,"Yes",IF(RISK进展队列GEO回末测序数据整理!J161=0,"No","N/A"))</f>
        <v>No</v>
      </c>
      <c r="Y162" s="22">
        <f>IF(Q162="","",IF(COUNTIF($Q$3:Q162,Q162)=1,1,0))</f>
        <v>1</v>
      </c>
      <c r="Z162" s="22">
        <f>IF(Q162="","",IF(COUNTIFS($Q$3:Q162,Q162,$R$3:R162,R162)=1,1,0))</f>
        <v>1</v>
      </c>
    </row>
    <row r="163" spans="16:26" x14ac:dyDescent="0.4">
      <c r="P163" s="22" t="str">
        <f>RISK进展队列GEO回末测序数据整理!A162</f>
        <v>GSM1598568</v>
      </c>
      <c r="Q163" s="22" t="str">
        <f>RISK进展队列GEO回末测序数据整理!B162</f>
        <v>CCFA_Risk_161</v>
      </c>
      <c r="R163" s="22" t="str">
        <f>IF(LOWER(TRIM(RISK进展队列GEO回末测序数据整理!G162))="not ibd","Not IBD",TRIM(RISK进展队列GEO回末测序数据整理!G162))</f>
        <v>CD</v>
      </c>
      <c r="S163" s="22" t="str">
        <f>IF(LOWER(TRIM(RISK进展队列GEO回末测序数据整理!H162))="not ibd","Not IBD",TRIM(RISK进展队列GEO回末测序数据整理!H162))</f>
        <v>cCD</v>
      </c>
      <c r="T163" s="22" t="str">
        <f>IF(RISK进展队列GEO回末测序数据整理!D162="女","女性",IF(RISK进展队列GEO回末测序数据整理!D162="男","男性",TRIM(RISK进展队列GEO回末测序数据整理!D162)))</f>
        <v>女性</v>
      </c>
      <c r="U163" s="22">
        <f>RISK进展队列GEO回末测序数据整理!E162</f>
        <v>8.83</v>
      </c>
      <c r="V163" s="22" t="str">
        <f>RISK进展队列GEO回末测序数据整理!F162</f>
        <v>A1a</v>
      </c>
      <c r="W163" s="22" t="str">
        <f>IF(RISK进展队列GEO回末测序数据整理!I162="Macroscopic inflammation","Macro",IF(RISK进展队列GEO回末测序数据整理!I162="Microscopic inflammation","Micro",TRIM(RISK进展队列GEO回末测序数据整理!I162)))</f>
        <v>Micro</v>
      </c>
      <c r="X163" s="22" t="str">
        <f>IF(RISK进展队列GEO回末测序数据整理!J162=1,"Yes",IF(RISK进展队列GEO回末测序数据整理!J162=0,"No","N/A"))</f>
        <v>No</v>
      </c>
      <c r="Y163" s="22">
        <f>IF(Q163="","",IF(COUNTIF($Q$3:Q163,Q163)=1,1,0))</f>
        <v>1</v>
      </c>
      <c r="Z163" s="22">
        <f>IF(Q163="","",IF(COUNTIFS($Q$3:Q163,Q163,$R$3:R163,R163)=1,1,0))</f>
        <v>1</v>
      </c>
    </row>
    <row r="164" spans="16:26" x14ac:dyDescent="0.4">
      <c r="P164" s="22" t="str">
        <f>RISK进展队列GEO回末测序数据整理!A163</f>
        <v>GSM1598569</v>
      </c>
      <c r="Q164" s="22" t="str">
        <f>RISK进展队列GEO回末测序数据整理!B163</f>
        <v>CCFA_Risk_162</v>
      </c>
      <c r="R164" s="22" t="str">
        <f>IF(LOWER(TRIM(RISK进展队列GEO回末测序数据整理!G163))="not ibd","Not IBD",TRIM(RISK进展队列GEO回末测序数据整理!G163))</f>
        <v>CD</v>
      </c>
      <c r="S164" s="22" t="str">
        <f>IF(LOWER(TRIM(RISK进展队列GEO回末测序数据整理!H163))="not ibd","Not IBD",TRIM(RISK进展队列GEO回末测序数据整理!H163))</f>
        <v>cCD</v>
      </c>
      <c r="T164" s="22" t="str">
        <f>IF(RISK进展队列GEO回末测序数据整理!D163="女","女性",IF(RISK进展队列GEO回末测序数据整理!D163="男","男性",TRIM(RISK进展队列GEO回末测序数据整理!D163)))</f>
        <v>女性</v>
      </c>
      <c r="U164" s="22">
        <f>RISK进展队列GEO回末测序数据整理!E163</f>
        <v>9.75</v>
      </c>
      <c r="V164" s="22" t="str">
        <f>RISK进展队列GEO回末测序数据整理!F163</f>
        <v>A1a</v>
      </c>
      <c r="W164" s="22" t="str">
        <f>IF(RISK进展队列GEO回末测序数据整理!I163="Macroscopic inflammation","Macro",IF(RISK进展队列GEO回末测序数据整理!I163="Microscopic inflammation","Micro",TRIM(RISK进展队列GEO回末测序数据整理!I163)))</f>
        <v>Micro</v>
      </c>
      <c r="X164" s="22" t="str">
        <f>IF(RISK进展队列GEO回末测序数据整理!J163=1,"Yes",IF(RISK进展队列GEO回末测序数据整理!J163=0,"No","N/A"))</f>
        <v>No</v>
      </c>
      <c r="Y164" s="22">
        <f>IF(Q164="","",IF(COUNTIF($Q$3:Q164,Q164)=1,1,0))</f>
        <v>1</v>
      </c>
      <c r="Z164" s="22">
        <f>IF(Q164="","",IF(COUNTIFS($Q$3:Q164,Q164,$R$3:R164,R164)=1,1,0))</f>
        <v>1</v>
      </c>
    </row>
    <row r="165" spans="16:26" x14ac:dyDescent="0.4">
      <c r="P165" s="22" t="str">
        <f>RISK进展队列GEO回末测序数据整理!A164</f>
        <v>GSM1598570</v>
      </c>
      <c r="Q165" s="22" t="str">
        <f>RISK进展队列GEO回末测序数据整理!B164</f>
        <v>CCFA_Risk_163</v>
      </c>
      <c r="R165" s="22" t="str">
        <f>IF(LOWER(TRIM(RISK进展队列GEO回末测序数据整理!G164))="not ibd","Not IBD",TRIM(RISK进展队列GEO回末测序数据整理!G164))</f>
        <v>CD</v>
      </c>
      <c r="S165" s="22" t="str">
        <f>IF(LOWER(TRIM(RISK进展队列GEO回末测序数据整理!H164))="not ibd","Not IBD",TRIM(RISK进展队列GEO回末测序数据整理!H164))</f>
        <v>iCD</v>
      </c>
      <c r="T165" s="22" t="str">
        <f>IF(RISK进展队列GEO回末测序数据整理!D164="女","女性",IF(RISK进展队列GEO回末测序数据整理!D164="男","男性",TRIM(RISK进展队列GEO回末测序数据整理!D164)))</f>
        <v>女性</v>
      </c>
      <c r="U165" s="22">
        <f>RISK进展队列GEO回末测序数据整理!E164</f>
        <v>9.25</v>
      </c>
      <c r="V165" s="22" t="str">
        <f>RISK进展队列GEO回末测序数据整理!F164</f>
        <v>A1a</v>
      </c>
      <c r="W165" s="22" t="str">
        <f>IF(RISK进展队列GEO回末测序数据整理!I164="Macroscopic inflammation","Macro",IF(RISK进展队列GEO回末测序数据整理!I164="Microscopic inflammation","Micro",TRIM(RISK进展队列GEO回末测序数据整理!I164)))</f>
        <v>Macro</v>
      </c>
      <c r="X165" s="22" t="str">
        <f>IF(RISK进展队列GEO回末测序数据整理!J164=1,"Yes",IF(RISK进展队列GEO回末测序数据整理!J164=0,"No","N/A"))</f>
        <v>Yes</v>
      </c>
      <c r="Y165" s="22">
        <f>IF(Q165="","",IF(COUNTIF($Q$3:Q165,Q165)=1,1,0))</f>
        <v>1</v>
      </c>
      <c r="Z165" s="22">
        <f>IF(Q165="","",IF(COUNTIFS($Q$3:Q165,Q165,$R$3:R165,R165)=1,1,0))</f>
        <v>1</v>
      </c>
    </row>
    <row r="166" spans="16:26" x14ac:dyDescent="0.4">
      <c r="P166" s="22" t="str">
        <f>RISK进展队列GEO回末测序数据整理!A165</f>
        <v>GSM1598571</v>
      </c>
      <c r="Q166" s="22" t="str">
        <f>RISK进展队列GEO回末测序数据整理!B165</f>
        <v>CCFA_Risk_164</v>
      </c>
      <c r="R166" s="22" t="str">
        <f>IF(LOWER(TRIM(RISK进展队列GEO回末测序数据整理!G165))="not ibd","Not IBD",TRIM(RISK进展队列GEO回末测序数据整理!G165))</f>
        <v>CD</v>
      </c>
      <c r="S166" s="22" t="str">
        <f>IF(LOWER(TRIM(RISK进展队列GEO回末测序数据整理!H165))="not ibd","Not IBD",TRIM(RISK进展队列GEO回末测序数据整理!H165))</f>
        <v>cCD</v>
      </c>
      <c r="T166" s="22" t="str">
        <f>IF(RISK进展队列GEO回末测序数据整理!D165="女","女性",IF(RISK进展队列GEO回末测序数据整理!D165="男","男性",TRIM(RISK进展队列GEO回末测序数据整理!D165)))</f>
        <v>女性</v>
      </c>
      <c r="U166" s="22">
        <f>RISK进展队列GEO回末测序数据整理!E165</f>
        <v>8.83</v>
      </c>
      <c r="V166" s="22" t="str">
        <f>RISK进展队列GEO回末测序数据整理!F165</f>
        <v>A1a</v>
      </c>
      <c r="W166" s="22" t="str">
        <f>IF(RISK进展队列GEO回末测序数据整理!I165="Macroscopic inflammation","Macro",IF(RISK进展队列GEO回末测序数据整理!I165="Microscopic inflammation","Micro",TRIM(RISK进展队列GEO回末测序数据整理!I165)))</f>
        <v>Normal</v>
      </c>
      <c r="X166" s="22" t="str">
        <f>IF(RISK进展队列GEO回末测序数据整理!J165=1,"Yes",IF(RISK进展队列GEO回末测序数据整理!J165=0,"No","N/A"))</f>
        <v>No</v>
      </c>
      <c r="Y166" s="22">
        <f>IF(Q166="","",IF(COUNTIF($Q$3:Q166,Q166)=1,1,0))</f>
        <v>1</v>
      </c>
      <c r="Z166" s="22">
        <f>IF(Q166="","",IF(COUNTIFS($Q$3:Q166,Q166,$R$3:R166,R166)=1,1,0))</f>
        <v>1</v>
      </c>
    </row>
    <row r="167" spans="16:26" x14ac:dyDescent="0.4">
      <c r="P167" s="22" t="str">
        <f>RISK进展队列GEO回末测序数据整理!A166</f>
        <v>GSM1598572</v>
      </c>
      <c r="Q167" s="22" t="str">
        <f>RISK进展队列GEO回末测序数据整理!B166</f>
        <v>CCFA_Risk_165</v>
      </c>
      <c r="R167" s="22" t="str">
        <f>IF(LOWER(TRIM(RISK进展队列GEO回末测序数据整理!G166))="not ibd","Not IBD",TRIM(RISK进展队列GEO回末测序数据整理!G166))</f>
        <v>CD</v>
      </c>
      <c r="S167" s="22" t="str">
        <f>IF(LOWER(TRIM(RISK进展队列GEO回末测序数据整理!H166))="not ibd","Not IBD",TRIM(RISK进展队列GEO回末测序数据整理!H166))</f>
        <v>iCD</v>
      </c>
      <c r="T167" s="22" t="str">
        <f>IF(RISK进展队列GEO回末测序数据整理!D166="女","女性",IF(RISK进展队列GEO回末测序数据整理!D166="男","男性",TRIM(RISK进展队列GEO回末测序数据整理!D166)))</f>
        <v>女性</v>
      </c>
      <c r="U167" s="22">
        <f>RISK进展队列GEO回末测序数据整理!E166</f>
        <v>9.75</v>
      </c>
      <c r="V167" s="22" t="str">
        <f>RISK进展队列GEO回末测序数据整理!F166</f>
        <v>A1a</v>
      </c>
      <c r="W167" s="22" t="str">
        <f>IF(RISK进展队列GEO回末测序数据整理!I166="Macroscopic inflammation","Macro",IF(RISK进展队列GEO回末测序数据整理!I166="Microscopic inflammation","Micro",TRIM(RISK进展队列GEO回末测序数据整理!I166)))</f>
        <v>Macro</v>
      </c>
      <c r="X167" s="22" t="str">
        <f>IF(RISK进展队列GEO回末测序数据整理!J166=1,"Yes",IF(RISK进展队列GEO回末测序数据整理!J166=0,"No","N/A"))</f>
        <v>Yes</v>
      </c>
      <c r="Y167" s="22">
        <f>IF(Q167="","",IF(COUNTIF($Q$3:Q167,Q167)=1,1,0))</f>
        <v>1</v>
      </c>
      <c r="Z167" s="22">
        <f>IF(Q167="","",IF(COUNTIFS($Q$3:Q167,Q167,$R$3:R167,R167)=1,1,0))</f>
        <v>1</v>
      </c>
    </row>
    <row r="168" spans="16:26" x14ac:dyDescent="0.4">
      <c r="P168" s="22" t="str">
        <f>RISK进展队列GEO回末测序数据整理!A167</f>
        <v>GSM1598573</v>
      </c>
      <c r="Q168" s="22" t="str">
        <f>RISK进展队列GEO回末测序数据整理!B167</f>
        <v>CCFA_Risk_166</v>
      </c>
      <c r="R168" s="22" t="str">
        <f>IF(LOWER(TRIM(RISK进展队列GEO回末测序数据整理!G167))="not ibd","Not IBD",TRIM(RISK进展队列GEO回末测序数据整理!G167))</f>
        <v>CD</v>
      </c>
      <c r="S168" s="22" t="str">
        <f>IF(LOWER(TRIM(RISK进展队列GEO回末测序数据整理!H167))="not ibd","Not IBD",TRIM(RISK进展队列GEO回末测序数据整理!H167))</f>
        <v>iCD</v>
      </c>
      <c r="T168" s="22" t="str">
        <f>IF(RISK进展队列GEO回末测序数据整理!D167="女","女性",IF(RISK进展队列GEO回末测序数据整理!D167="男","男性",TRIM(RISK进展队列GEO回末测序数据整理!D167)))</f>
        <v>男性</v>
      </c>
      <c r="U168" s="22">
        <f>RISK进展队列GEO回末测序数据整理!E167</f>
        <v>9.58</v>
      </c>
      <c r="V168" s="22" t="str">
        <f>RISK进展队列GEO回末测序数据整理!F167</f>
        <v>A1a</v>
      </c>
      <c r="W168" s="22" t="str">
        <f>IF(RISK进展队列GEO回末测序数据整理!I167="Macroscopic inflammation","Macro",IF(RISK进展队列GEO回末测序数据整理!I167="Microscopic inflammation","Micro",TRIM(RISK进展队列GEO回末测序数据整理!I167)))</f>
        <v>Macro</v>
      </c>
      <c r="X168" s="22" t="str">
        <f>IF(RISK进展队列GEO回末测序数据整理!J167=1,"Yes",IF(RISK进展队列GEO回末测序数据整理!J167=0,"No","N/A"))</f>
        <v>No</v>
      </c>
      <c r="Y168" s="22">
        <f>IF(Q168="","",IF(COUNTIF($Q$3:Q168,Q168)=1,1,0))</f>
        <v>1</v>
      </c>
      <c r="Z168" s="22">
        <f>IF(Q168="","",IF(COUNTIFS($Q$3:Q168,Q168,$R$3:R168,R168)=1,1,0))</f>
        <v>1</v>
      </c>
    </row>
    <row r="169" spans="16:26" x14ac:dyDescent="0.4">
      <c r="P169" s="22" t="str">
        <f>RISK进展队列GEO回末测序数据整理!A168</f>
        <v>GSM1598574</v>
      </c>
      <c r="Q169" s="22" t="str">
        <f>RISK进展队列GEO回末测序数据整理!B168</f>
        <v>CCFA_Risk_167</v>
      </c>
      <c r="R169" s="22" t="str">
        <f>IF(LOWER(TRIM(RISK进展队列GEO回末测序数据整理!G168))="not ibd","Not IBD",TRIM(RISK进展队列GEO回末测序数据整理!G168))</f>
        <v>CD</v>
      </c>
      <c r="S169" s="22" t="str">
        <f>IF(LOWER(TRIM(RISK进展队列GEO回末测序数据整理!H168))="not ibd","Not IBD",TRIM(RISK进展队列GEO回末测序数据整理!H168))</f>
        <v>iCD</v>
      </c>
      <c r="T169" s="22" t="str">
        <f>IF(RISK进展队列GEO回末测序数据整理!D168="女","女性",IF(RISK进展队列GEO回末测序数据整理!D168="男","男性",TRIM(RISK进展队列GEO回末测序数据整理!D168)))</f>
        <v>男性</v>
      </c>
      <c r="U169" s="22">
        <f>RISK进展队列GEO回末测序数据整理!E168</f>
        <v>9.58</v>
      </c>
      <c r="V169" s="22" t="str">
        <f>RISK进展队列GEO回末测序数据整理!F168</f>
        <v>A1a</v>
      </c>
      <c r="W169" s="22" t="str">
        <f>IF(RISK进展队列GEO回末测序数据整理!I168="Macroscopic inflammation","Macro",IF(RISK进展队列GEO回末测序数据整理!I168="Microscopic inflammation","Micro",TRIM(RISK进展队列GEO回末测序数据整理!I168)))</f>
        <v>Macro</v>
      </c>
      <c r="X169" s="22" t="str">
        <f>IF(RISK进展队列GEO回末测序数据整理!J168=1,"Yes",IF(RISK进展队列GEO回末测序数据整理!J168=0,"No","N/A"))</f>
        <v>Yes</v>
      </c>
      <c r="Y169" s="22">
        <f>IF(Q169="","",IF(COUNTIF($Q$3:Q169,Q169)=1,1,0))</f>
        <v>1</v>
      </c>
      <c r="Z169" s="22">
        <f>IF(Q169="","",IF(COUNTIFS($Q$3:Q169,Q169,$R$3:R169,R169)=1,1,0))</f>
        <v>1</v>
      </c>
    </row>
    <row r="170" spans="16:26" x14ac:dyDescent="0.4">
      <c r="P170" s="22" t="str">
        <f>RISK进展队列GEO回末测序数据整理!A169</f>
        <v>GSM1598575</v>
      </c>
      <c r="Q170" s="22" t="str">
        <f>RISK进展队列GEO回末测序数据整理!B169</f>
        <v>CCFA_Risk_168</v>
      </c>
      <c r="R170" s="22" t="str">
        <f>IF(LOWER(TRIM(RISK进展队列GEO回末测序数据整理!G169))="not ibd","Not IBD",TRIM(RISK进展队列GEO回末测序数据整理!G169))</f>
        <v>CD</v>
      </c>
      <c r="S170" s="22" t="str">
        <f>IF(LOWER(TRIM(RISK进展队列GEO回末测序数据整理!H169))="not ibd","Not IBD",TRIM(RISK进展队列GEO回末测序数据整理!H169))</f>
        <v>iCD</v>
      </c>
      <c r="T170" s="22" t="str">
        <f>IF(RISK进展队列GEO回末测序数据整理!D169="女","女性",IF(RISK进展队列GEO回末测序数据整理!D169="男","男性",TRIM(RISK进展队列GEO回末测序数据整理!D169)))</f>
        <v>男性</v>
      </c>
      <c r="U170" s="22">
        <f>RISK进展队列GEO回末测序数据整理!E169</f>
        <v>9.25</v>
      </c>
      <c r="V170" s="22" t="str">
        <f>RISK进展队列GEO回末测序数据整理!F169</f>
        <v>A1a</v>
      </c>
      <c r="W170" s="22" t="str">
        <f>IF(RISK进展队列GEO回末测序数据整理!I169="Macroscopic inflammation","Macro",IF(RISK进展队列GEO回末测序数据整理!I169="Microscopic inflammation","Micro",TRIM(RISK进展队列GEO回末测序数据整理!I169)))</f>
        <v>Macro</v>
      </c>
      <c r="X170" s="22" t="str">
        <f>IF(RISK进展队列GEO回末测序数据整理!J169=1,"Yes",IF(RISK进展队列GEO回末测序数据整理!J169=0,"No","N/A"))</f>
        <v>No</v>
      </c>
      <c r="Y170" s="22">
        <f>IF(Q170="","",IF(COUNTIF($Q$3:Q170,Q170)=1,1,0))</f>
        <v>1</v>
      </c>
      <c r="Z170" s="22">
        <f>IF(Q170="","",IF(COUNTIFS($Q$3:Q170,Q170,$R$3:R170,R170)=1,1,0))</f>
        <v>1</v>
      </c>
    </row>
    <row r="171" spans="16:26" x14ac:dyDescent="0.4">
      <c r="P171" s="22" t="str">
        <f>RISK进展队列GEO回末测序数据整理!A170</f>
        <v>GSM1598576</v>
      </c>
      <c r="Q171" s="22" t="str">
        <f>RISK进展队列GEO回末测序数据整理!B170</f>
        <v>CCFA_Risk_169</v>
      </c>
      <c r="R171" s="22" t="str">
        <f>IF(LOWER(TRIM(RISK进展队列GEO回末测序数据整理!G170))="not ibd","Not IBD",TRIM(RISK进展队列GEO回末测序数据整理!G170))</f>
        <v>CD</v>
      </c>
      <c r="S171" s="22" t="str">
        <f>IF(LOWER(TRIM(RISK进展队列GEO回末测序数据整理!H170))="not ibd","Not IBD",TRIM(RISK进展队列GEO回末测序数据整理!H170))</f>
        <v>iCD</v>
      </c>
      <c r="T171" s="22" t="str">
        <f>IF(RISK进展队列GEO回末测序数据整理!D170="女","女性",IF(RISK进展队列GEO回末测序数据整理!D170="男","男性",TRIM(RISK进展队列GEO回末测序数据整理!D170)))</f>
        <v>男性</v>
      </c>
      <c r="U171" s="22">
        <f>RISK进展队列GEO回末测序数据整理!E170</f>
        <v>9.08</v>
      </c>
      <c r="V171" s="22" t="str">
        <f>RISK进展队列GEO回末测序数据整理!F170</f>
        <v>A1a</v>
      </c>
      <c r="W171" s="22" t="str">
        <f>IF(RISK进展队列GEO回末测序数据整理!I170="Macroscopic inflammation","Macro",IF(RISK进展队列GEO回末测序数据整理!I170="Microscopic inflammation","Micro",TRIM(RISK进展队列GEO回末测序数据整理!I170)))</f>
        <v>Macro</v>
      </c>
      <c r="X171" s="22" t="str">
        <f>IF(RISK进展队列GEO回末测序数据整理!J170=1,"Yes",IF(RISK进展队列GEO回末测序数据整理!J170=0,"No","N/A"))</f>
        <v>No</v>
      </c>
      <c r="Y171" s="22">
        <f>IF(Q171="","",IF(COUNTIF($Q$3:Q171,Q171)=1,1,0))</f>
        <v>1</v>
      </c>
      <c r="Z171" s="22">
        <f>IF(Q171="","",IF(COUNTIFS($Q$3:Q171,Q171,$R$3:R171,R171)=1,1,0))</f>
        <v>1</v>
      </c>
    </row>
    <row r="172" spans="16:26" x14ac:dyDescent="0.4">
      <c r="P172" s="22" t="str">
        <f>RISK进展队列GEO回末测序数据整理!A171</f>
        <v>GSM1598577</v>
      </c>
      <c r="Q172" s="22" t="str">
        <f>RISK进展队列GEO回末测序数据整理!B171</f>
        <v>CCFA_Risk_170</v>
      </c>
      <c r="R172" s="22" t="str">
        <f>IF(LOWER(TRIM(RISK进展队列GEO回末测序数据整理!G171))="not ibd","Not IBD",TRIM(RISK进展队列GEO回末测序数据整理!G171))</f>
        <v>CD</v>
      </c>
      <c r="S172" s="22" t="str">
        <f>IF(LOWER(TRIM(RISK进展队列GEO回末测序数据整理!H171))="not ibd","Not IBD",TRIM(RISK进展队列GEO回末测序数据整理!H171))</f>
        <v>iCD</v>
      </c>
      <c r="T172" s="22" t="str">
        <f>IF(RISK进展队列GEO回末测序数据整理!D171="女","女性",IF(RISK进展队列GEO回末测序数据整理!D171="男","男性",TRIM(RISK进展队列GEO回末测序数据整理!D171)))</f>
        <v>男性</v>
      </c>
      <c r="U172" s="22">
        <f>RISK进展队列GEO回末测序数据整理!E171</f>
        <v>9</v>
      </c>
      <c r="V172" s="22" t="str">
        <f>RISK进展队列GEO回末测序数据整理!F171</f>
        <v>A1a</v>
      </c>
      <c r="W172" s="22" t="str">
        <f>IF(RISK进展队列GEO回末测序数据整理!I171="Macroscopic inflammation","Macro",IF(RISK进展队列GEO回末测序数据整理!I171="Microscopic inflammation","Micro",TRIM(RISK进展队列GEO回末测序数据整理!I171)))</f>
        <v>Macro</v>
      </c>
      <c r="X172" s="22" t="str">
        <f>IF(RISK进展队列GEO回末测序数据整理!J171=1,"Yes",IF(RISK进展队列GEO回末测序数据整理!J171=0,"No","N/A"))</f>
        <v>Yes</v>
      </c>
      <c r="Y172" s="22">
        <f>IF(Q172="","",IF(COUNTIF($Q$3:Q172,Q172)=1,1,0))</f>
        <v>1</v>
      </c>
      <c r="Z172" s="22">
        <f>IF(Q172="","",IF(COUNTIFS($Q$3:Q172,Q172,$R$3:R172,R172)=1,1,0))</f>
        <v>1</v>
      </c>
    </row>
    <row r="173" spans="16:26" x14ac:dyDescent="0.4">
      <c r="P173" s="22" t="str">
        <f>RISK进展队列GEO回末测序数据整理!A172</f>
        <v>GSM1598578</v>
      </c>
      <c r="Q173" s="22" t="str">
        <f>RISK进展队列GEO回末测序数据整理!B172</f>
        <v>CCFA_Risk_171</v>
      </c>
      <c r="R173" s="22" t="str">
        <f>IF(LOWER(TRIM(RISK进展队列GEO回末测序数据整理!G172))="not ibd","Not IBD",TRIM(RISK进展队列GEO回末测序数据整理!G172))</f>
        <v>CD</v>
      </c>
      <c r="S173" s="22" t="str">
        <f>IF(LOWER(TRIM(RISK进展队列GEO回末测序数据整理!H172))="not ibd","Not IBD",TRIM(RISK进展队列GEO回末测序数据整理!H172))</f>
        <v>iCD</v>
      </c>
      <c r="T173" s="22" t="str">
        <f>IF(RISK进展队列GEO回末测序数据整理!D172="女","女性",IF(RISK进展队列GEO回末测序数据整理!D172="男","男性",TRIM(RISK进展队列GEO回末测序数据整理!D172)))</f>
        <v>男性</v>
      </c>
      <c r="U173" s="22">
        <f>RISK进展队列GEO回末测序数据整理!E172</f>
        <v>16.420000000000002</v>
      </c>
      <c r="V173" s="22" t="str">
        <f>RISK进展队列GEO回末测序数据整理!F172</f>
        <v>A1b</v>
      </c>
      <c r="W173" s="22" t="str">
        <f>IF(RISK进展队列GEO回末测序数据整理!I172="Macroscopic inflammation","Macro",IF(RISK进展队列GEO回末测序数据整理!I172="Microscopic inflammation","Micro",TRIM(RISK进展队列GEO回末测序数据整理!I172)))</f>
        <v>Macro</v>
      </c>
      <c r="X173" s="22" t="str">
        <f>IF(RISK进展队列GEO回末测序数据整理!J172=1,"Yes",IF(RISK进展队列GEO回末测序数据整理!J172=0,"No","N/A"))</f>
        <v>Yes</v>
      </c>
      <c r="Y173" s="22">
        <f>IF(Q173="","",IF(COUNTIF($Q$3:Q173,Q173)=1,1,0))</f>
        <v>1</v>
      </c>
      <c r="Z173" s="22">
        <f>IF(Q173="","",IF(COUNTIFS($Q$3:Q173,Q173,$R$3:R173,R173)=1,1,0))</f>
        <v>1</v>
      </c>
    </row>
    <row r="174" spans="16:26" x14ac:dyDescent="0.4">
      <c r="P174" s="22" t="str">
        <f>RISK进展队列GEO回末测序数据整理!A173</f>
        <v>GSM1598579</v>
      </c>
      <c r="Q174" s="22" t="str">
        <f>RISK进展队列GEO回末测序数据整理!B173</f>
        <v>CCFA_Risk_172</v>
      </c>
      <c r="R174" s="22" t="str">
        <f>IF(LOWER(TRIM(RISK进展队列GEO回末测序数据整理!G173))="not ibd","Not IBD",TRIM(RISK进展队列GEO回末测序数据整理!G173))</f>
        <v>CD</v>
      </c>
      <c r="S174" s="22" t="str">
        <f>IF(LOWER(TRIM(RISK进展队列GEO回末测序数据整理!H173))="not ibd","Not IBD",TRIM(RISK进展队列GEO回末测序数据整理!H173))</f>
        <v>iCD</v>
      </c>
      <c r="T174" s="22" t="str">
        <f>IF(RISK进展队列GEO回末测序数据整理!D173="女","女性",IF(RISK进展队列GEO回末测序数据整理!D173="男","男性",TRIM(RISK进展队列GEO回末测序数据整理!D173)))</f>
        <v>男性</v>
      </c>
      <c r="U174" s="22">
        <f>RISK进展队列GEO回末测序数据整理!E173</f>
        <v>16.079999999999998</v>
      </c>
      <c r="V174" s="22" t="str">
        <f>RISK进展队列GEO回末测序数据整理!F173</f>
        <v>A1b</v>
      </c>
      <c r="W174" s="22" t="str">
        <f>IF(RISK进展队列GEO回末测序数据整理!I173="Macroscopic inflammation","Macro",IF(RISK进展队列GEO回末测序数据整理!I173="Microscopic inflammation","Micro",TRIM(RISK进展队列GEO回末测序数据整理!I173)))</f>
        <v>Macro</v>
      </c>
      <c r="X174" s="22" t="str">
        <f>IF(RISK进展队列GEO回末测序数据整理!J173=1,"Yes",IF(RISK进展队列GEO回末测序数据整理!J173=0,"No","N/A"))</f>
        <v>No</v>
      </c>
      <c r="Y174" s="22">
        <f>IF(Q174="","",IF(COUNTIF($Q$3:Q174,Q174)=1,1,0))</f>
        <v>1</v>
      </c>
      <c r="Z174" s="22">
        <f>IF(Q174="","",IF(COUNTIFS($Q$3:Q174,Q174,$R$3:R174,R174)=1,1,0))</f>
        <v>1</v>
      </c>
    </row>
    <row r="175" spans="16:26" x14ac:dyDescent="0.4">
      <c r="P175" s="22" t="str">
        <f>RISK进展队列GEO回末测序数据整理!A174</f>
        <v>GSM1598580</v>
      </c>
      <c r="Q175" s="22" t="str">
        <f>RISK进展队列GEO回末测序数据整理!B174</f>
        <v>CCFA_Risk_173</v>
      </c>
      <c r="R175" s="22" t="str">
        <f>IF(LOWER(TRIM(RISK进展队列GEO回末测序数据整理!G174))="not ibd","Not IBD",TRIM(RISK进展队列GEO回末测序数据整理!G174))</f>
        <v>CD</v>
      </c>
      <c r="S175" s="22" t="str">
        <f>IF(LOWER(TRIM(RISK进展队列GEO回末测序数据整理!H174))="not ibd","Not IBD",TRIM(RISK进展队列GEO回末测序数据整理!H174))</f>
        <v>iCD</v>
      </c>
      <c r="T175" s="22" t="str">
        <f>IF(RISK进展队列GEO回末测序数据整理!D174="女","女性",IF(RISK进展队列GEO回末测序数据整理!D174="男","男性",TRIM(RISK进展队列GEO回末测序数据整理!D174)))</f>
        <v>女性</v>
      </c>
      <c r="U175" s="22">
        <f>RISK进展队列GEO回末测序数据整理!E174</f>
        <v>8.92</v>
      </c>
      <c r="V175" s="22" t="str">
        <f>RISK进展队列GEO回末测序数据整理!F174</f>
        <v>A1a</v>
      </c>
      <c r="W175" s="22" t="str">
        <f>IF(RISK进展队列GEO回末测序数据整理!I174="Macroscopic inflammation","Macro",IF(RISK进展队列GEO回末测序数据整理!I174="Microscopic inflammation","Micro",TRIM(RISK进展队列GEO回末测序数据整理!I174)))</f>
        <v>Macro</v>
      </c>
      <c r="X175" s="22" t="str">
        <f>IF(RISK进展队列GEO回末测序数据整理!J174=1,"Yes",IF(RISK进展队列GEO回末测序数据整理!J174=0,"No","N/A"))</f>
        <v>No</v>
      </c>
      <c r="Y175" s="22">
        <f>IF(Q175="","",IF(COUNTIF($Q$3:Q175,Q175)=1,1,0))</f>
        <v>1</v>
      </c>
      <c r="Z175" s="22">
        <f>IF(Q175="","",IF(COUNTIFS($Q$3:Q175,Q175,$R$3:R175,R175)=1,1,0))</f>
        <v>1</v>
      </c>
    </row>
    <row r="176" spans="16:26" x14ac:dyDescent="0.4">
      <c r="P176" s="22" t="str">
        <f>RISK进展队列GEO回末测序数据整理!A175</f>
        <v>GSM1598581</v>
      </c>
      <c r="Q176" s="22" t="str">
        <f>RISK进展队列GEO回末测序数据整理!B175</f>
        <v>CCFA_Risk_174</v>
      </c>
      <c r="R176" s="22" t="str">
        <f>IF(LOWER(TRIM(RISK进展队列GEO回末测序数据整理!G175))="not ibd","Not IBD",TRIM(RISK进展队列GEO回末测序数据整理!G175))</f>
        <v>CD</v>
      </c>
      <c r="S176" s="22" t="str">
        <f>IF(LOWER(TRIM(RISK进展队列GEO回末测序数据整理!H175))="not ibd","Not IBD",TRIM(RISK进展队列GEO回末测序数据整理!H175))</f>
        <v>iCD</v>
      </c>
      <c r="T176" s="22" t="str">
        <f>IF(RISK进展队列GEO回末测序数据整理!D175="女","女性",IF(RISK进展队列GEO回末测序数据整理!D175="男","男性",TRIM(RISK进展队列GEO回末测序数据整理!D175)))</f>
        <v>男性</v>
      </c>
      <c r="U176" s="22">
        <f>RISK进展队列GEO回末测序数据整理!E175</f>
        <v>7.92</v>
      </c>
      <c r="V176" s="22" t="str">
        <f>RISK进展队列GEO回末测序数据整理!F175</f>
        <v>A1a</v>
      </c>
      <c r="W176" s="22" t="str">
        <f>IF(RISK进展队列GEO回末测序数据整理!I175="Macroscopic inflammation","Macro",IF(RISK进展队列GEO回末测序数据整理!I175="Microscopic inflammation","Micro",TRIM(RISK进展队列GEO回末测序数据整理!I175)))</f>
        <v>Macro</v>
      </c>
      <c r="X176" s="22" t="str">
        <f>IF(RISK进展队列GEO回末测序数据整理!J175=1,"Yes",IF(RISK进展队列GEO回末测序数据整理!J175=0,"No","N/A"))</f>
        <v>No</v>
      </c>
      <c r="Y176" s="22">
        <f>IF(Q176="","",IF(COUNTIF($Q$3:Q176,Q176)=1,1,0))</f>
        <v>1</v>
      </c>
      <c r="Z176" s="22">
        <f>IF(Q176="","",IF(COUNTIFS($Q$3:Q176,Q176,$R$3:R176,R176)=1,1,0))</f>
        <v>1</v>
      </c>
    </row>
    <row r="177" spans="16:26" x14ac:dyDescent="0.4">
      <c r="P177" s="22" t="str">
        <f>RISK进展队列GEO回末测序数据整理!A176</f>
        <v>GSM1598582</v>
      </c>
      <c r="Q177" s="22" t="str">
        <f>RISK进展队列GEO回末测序数据整理!B176</f>
        <v>CCFA_Risk_175</v>
      </c>
      <c r="R177" s="22" t="str">
        <f>IF(LOWER(TRIM(RISK进展队列GEO回末测序数据整理!G176))="not ibd","Not IBD",TRIM(RISK进展队列GEO回末测序数据整理!G176))</f>
        <v>CD</v>
      </c>
      <c r="S177" s="22" t="str">
        <f>IF(LOWER(TRIM(RISK进展队列GEO回末测序数据整理!H176))="not ibd","Not IBD",TRIM(RISK进展队列GEO回末测序数据整理!H176))</f>
        <v>iCD</v>
      </c>
      <c r="T177" s="22" t="str">
        <f>IF(RISK进展队列GEO回末测序数据整理!D176="女","女性",IF(RISK进展队列GEO回末测序数据整理!D176="男","男性",TRIM(RISK进展队列GEO回末测序数据整理!D176)))</f>
        <v>男性</v>
      </c>
      <c r="U177" s="22">
        <f>RISK进展队列GEO回末测序数据整理!E176</f>
        <v>7.92</v>
      </c>
      <c r="V177" s="22" t="str">
        <f>RISK进展队列GEO回末测序数据整理!F176</f>
        <v>A1a</v>
      </c>
      <c r="W177" s="22" t="str">
        <f>IF(RISK进展队列GEO回末测序数据整理!I176="Macroscopic inflammation","Macro",IF(RISK进展队列GEO回末测序数据整理!I176="Microscopic inflammation","Micro",TRIM(RISK进展队列GEO回末测序数据整理!I176)))</f>
        <v>Macro</v>
      </c>
      <c r="X177" s="22" t="str">
        <f>IF(RISK进展队列GEO回末测序数据整理!J176=1,"Yes",IF(RISK进展队列GEO回末测序数据整理!J176=0,"No","N/A"))</f>
        <v>No</v>
      </c>
      <c r="Y177" s="22">
        <f>IF(Q177="","",IF(COUNTIF($Q$3:Q177,Q177)=1,1,0))</f>
        <v>1</v>
      </c>
      <c r="Z177" s="22">
        <f>IF(Q177="","",IF(COUNTIFS($Q$3:Q177,Q177,$R$3:R177,R177)=1,1,0))</f>
        <v>1</v>
      </c>
    </row>
    <row r="178" spans="16:26" x14ac:dyDescent="0.4">
      <c r="P178" s="22" t="str">
        <f>RISK进展队列GEO回末测序数据整理!A177</f>
        <v>GSM1598583</v>
      </c>
      <c r="Q178" s="22" t="str">
        <f>RISK进展队列GEO回末测序数据整理!B177</f>
        <v>CCFA_Risk_176</v>
      </c>
      <c r="R178" s="22" t="str">
        <f>IF(LOWER(TRIM(RISK进展队列GEO回末测序数据整理!G177))="not ibd","Not IBD",TRIM(RISK进展队列GEO回末测序数据整理!G177))</f>
        <v>CD</v>
      </c>
      <c r="S178" s="22" t="str">
        <f>IF(LOWER(TRIM(RISK进展队列GEO回末测序数据整理!H177))="not ibd","Not IBD",TRIM(RISK进展队列GEO回末测序数据整理!H177))</f>
        <v>iCD</v>
      </c>
      <c r="T178" s="22" t="str">
        <f>IF(RISK进展队列GEO回末测序数据整理!D177="女","女性",IF(RISK进展队列GEO回末测序数据整理!D177="男","男性",TRIM(RISK进展队列GEO回末测序数据整理!D177)))</f>
        <v>男性</v>
      </c>
      <c r="U178" s="22">
        <f>RISK进展队列GEO回末测序数据整理!E177</f>
        <v>8.92</v>
      </c>
      <c r="V178" s="22" t="str">
        <f>RISK进展队列GEO回末测序数据整理!F177</f>
        <v>A1a</v>
      </c>
      <c r="W178" s="22" t="str">
        <f>IF(RISK进展队列GEO回末测序数据整理!I177="Macroscopic inflammation","Macro",IF(RISK进展队列GEO回末测序数据整理!I177="Microscopic inflammation","Micro",TRIM(RISK进展队列GEO回末测序数据整理!I177)))</f>
        <v>Macro</v>
      </c>
      <c r="X178" s="22" t="str">
        <f>IF(RISK进展队列GEO回末测序数据整理!J177=1,"Yes",IF(RISK进展队列GEO回末测序数据整理!J177=0,"No","N/A"))</f>
        <v>Yes</v>
      </c>
      <c r="Y178" s="22">
        <f>IF(Q178="","",IF(COUNTIF($Q$3:Q178,Q178)=1,1,0))</f>
        <v>1</v>
      </c>
      <c r="Z178" s="22">
        <f>IF(Q178="","",IF(COUNTIFS($Q$3:Q178,Q178,$R$3:R178,R178)=1,1,0))</f>
        <v>1</v>
      </c>
    </row>
    <row r="179" spans="16:26" x14ac:dyDescent="0.4">
      <c r="P179" s="22" t="str">
        <f>RISK进展队列GEO回末测序数据整理!A178</f>
        <v>GSM1598584</v>
      </c>
      <c r="Q179" s="22" t="str">
        <f>RISK进展队列GEO回末测序数据整理!B178</f>
        <v>CCFA_Risk_177</v>
      </c>
      <c r="R179" s="22" t="str">
        <f>IF(LOWER(TRIM(RISK进展队列GEO回末测序数据整理!G178))="not ibd","Not IBD",TRIM(RISK进展队列GEO回末测序数据整理!G178))</f>
        <v>CD</v>
      </c>
      <c r="S179" s="22" t="str">
        <f>IF(LOWER(TRIM(RISK进展队列GEO回末测序数据整理!H178))="not ibd","Not IBD",TRIM(RISK进展队列GEO回末测序数据整理!H178))</f>
        <v>iCD</v>
      </c>
      <c r="T179" s="22" t="str">
        <f>IF(RISK进展队列GEO回末测序数据整理!D178="女","女性",IF(RISK进展队列GEO回末测序数据整理!D178="男","男性",TRIM(RISK进展队列GEO回末测序数据整理!D178)))</f>
        <v>男性</v>
      </c>
      <c r="U179" s="22">
        <f>RISK进展队列GEO回末测序数据整理!E178</f>
        <v>9.58</v>
      </c>
      <c r="V179" s="22" t="str">
        <f>RISK进展队列GEO回末测序数据整理!F178</f>
        <v>A1a</v>
      </c>
      <c r="W179" s="22" t="str">
        <f>IF(RISK进展队列GEO回末测序数据整理!I178="Macroscopic inflammation","Macro",IF(RISK进展队列GEO回末测序数据整理!I178="Microscopic inflammation","Micro",TRIM(RISK进展队列GEO回末测序数据整理!I178)))</f>
        <v>Macro</v>
      </c>
      <c r="X179" s="22" t="str">
        <f>IF(RISK进展队列GEO回末测序数据整理!J178=1,"Yes",IF(RISK进展队列GEO回末测序数据整理!J178=0,"No","N/A"))</f>
        <v>Yes</v>
      </c>
      <c r="Y179" s="22">
        <f>IF(Q179="","",IF(COUNTIF($Q$3:Q179,Q179)=1,1,0))</f>
        <v>1</v>
      </c>
      <c r="Z179" s="22">
        <f>IF(Q179="","",IF(COUNTIFS($Q$3:Q179,Q179,$R$3:R179,R179)=1,1,0))</f>
        <v>1</v>
      </c>
    </row>
    <row r="180" spans="16:26" x14ac:dyDescent="0.4">
      <c r="P180" s="22" t="str">
        <f>RISK进展队列GEO回末测序数据整理!A179</f>
        <v>GSM1598585</v>
      </c>
      <c r="Q180" s="22" t="str">
        <f>RISK进展队列GEO回末测序数据整理!B179</f>
        <v>CCFA_Risk_178</v>
      </c>
      <c r="R180" s="22" t="str">
        <f>IF(LOWER(TRIM(RISK进展队列GEO回末测序数据整理!G179))="not ibd","Not IBD",TRIM(RISK进展队列GEO回末测序数据整理!G179))</f>
        <v>CD</v>
      </c>
      <c r="S180" s="22" t="str">
        <f>IF(LOWER(TRIM(RISK进展队列GEO回末测序数据整理!H179))="not ibd","Not IBD",TRIM(RISK进展队列GEO回末测序数据整理!H179))</f>
        <v>iCD</v>
      </c>
      <c r="T180" s="22" t="str">
        <f>IF(RISK进展队列GEO回末测序数据整理!D179="女","女性",IF(RISK进展队列GEO回末测序数据整理!D179="男","男性",TRIM(RISK进展队列GEO回末测序数据整理!D179)))</f>
        <v>男性</v>
      </c>
      <c r="U180" s="22">
        <f>RISK进展队列GEO回末测序数据整理!E179</f>
        <v>6.75</v>
      </c>
      <c r="V180" s="22" t="str">
        <f>RISK进展队列GEO回末测序数据整理!F179</f>
        <v>A1a</v>
      </c>
      <c r="W180" s="22" t="str">
        <f>IF(RISK进展队列GEO回末测序数据整理!I179="Macroscopic inflammation","Macro",IF(RISK进展队列GEO回末测序数据整理!I179="Microscopic inflammation","Micro",TRIM(RISK进展队列GEO回末测序数据整理!I179)))</f>
        <v>Macro</v>
      </c>
      <c r="X180" s="22" t="str">
        <f>IF(RISK进展队列GEO回末测序数据整理!J179=1,"Yes",IF(RISK进展队列GEO回末测序数据整理!J179=0,"No","N/A"))</f>
        <v>No</v>
      </c>
      <c r="Y180" s="22">
        <f>IF(Q180="","",IF(COUNTIF($Q$3:Q180,Q180)=1,1,0))</f>
        <v>1</v>
      </c>
      <c r="Z180" s="22">
        <f>IF(Q180="","",IF(COUNTIFS($Q$3:Q180,Q180,$R$3:R180,R180)=1,1,0))</f>
        <v>1</v>
      </c>
    </row>
    <row r="181" spans="16:26" x14ac:dyDescent="0.4">
      <c r="P181" s="22" t="str">
        <f>RISK进展队列GEO回末测序数据整理!A180</f>
        <v>GSM1598586</v>
      </c>
      <c r="Q181" s="22" t="str">
        <f>RISK进展队列GEO回末测序数据整理!B180</f>
        <v>CCFA_Risk_179</v>
      </c>
      <c r="R181" s="22" t="str">
        <f>IF(LOWER(TRIM(RISK进展队列GEO回末测序数据整理!G180))="not ibd","Not IBD",TRIM(RISK进展队列GEO回末测序数据整理!G180))</f>
        <v>CD</v>
      </c>
      <c r="S181" s="22" t="str">
        <f>IF(LOWER(TRIM(RISK进展队列GEO回末测序数据整理!H180))="not ibd","Not IBD",TRIM(RISK进展队列GEO回末测序数据整理!H180))</f>
        <v>iCD</v>
      </c>
      <c r="T181" s="22" t="str">
        <f>IF(RISK进展队列GEO回末测序数据整理!D180="女","女性",IF(RISK进展队列GEO回末测序数据整理!D180="男","男性",TRIM(RISK进展队列GEO回末测序数据整理!D180)))</f>
        <v>男性</v>
      </c>
      <c r="U181" s="22">
        <f>RISK进展队列GEO回末测序数据整理!E180</f>
        <v>8.83</v>
      </c>
      <c r="V181" s="22" t="str">
        <f>RISK进展队列GEO回末测序数据整理!F180</f>
        <v>A1a</v>
      </c>
      <c r="W181" s="22" t="str">
        <f>IF(RISK进展队列GEO回末测序数据整理!I180="Macroscopic inflammation","Macro",IF(RISK进展队列GEO回末测序数据整理!I180="Microscopic inflammation","Micro",TRIM(RISK进展队列GEO回末测序数据整理!I180)))</f>
        <v>Macro</v>
      </c>
      <c r="X181" s="22" t="str">
        <f>IF(RISK进展队列GEO回末测序数据整理!J180=1,"Yes",IF(RISK进展队列GEO回末测序数据整理!J180=0,"No","N/A"))</f>
        <v>No</v>
      </c>
      <c r="Y181" s="22">
        <f>IF(Q181="","",IF(COUNTIF($Q$3:Q181,Q181)=1,1,0))</f>
        <v>1</v>
      </c>
      <c r="Z181" s="22">
        <f>IF(Q181="","",IF(COUNTIFS($Q$3:Q181,Q181,$R$3:R181,R181)=1,1,0))</f>
        <v>1</v>
      </c>
    </row>
    <row r="182" spans="16:26" x14ac:dyDescent="0.4">
      <c r="P182" s="22" t="str">
        <f>RISK进展队列GEO回末测序数据整理!A181</f>
        <v>GSM1598587</v>
      </c>
      <c r="Q182" s="22" t="str">
        <f>RISK进展队列GEO回末测序数据整理!B181</f>
        <v>CCFA_Risk_180</v>
      </c>
      <c r="R182" s="22" t="str">
        <f>IF(LOWER(TRIM(RISK进展队列GEO回末测序数据整理!G181))="not ibd","Not IBD",TRIM(RISK进展队列GEO回末测序数据整理!G181))</f>
        <v>Not IBD</v>
      </c>
      <c r="S182" s="22" t="str">
        <f>IF(LOWER(TRIM(RISK进展队列GEO回末测序数据整理!H181))="not ibd","Not IBD",TRIM(RISK进展队列GEO回末测序数据整理!H181))</f>
        <v>Not IBD</v>
      </c>
      <c r="T182" s="22" t="str">
        <f>IF(RISK进展队列GEO回末测序数据整理!D181="女","女性",IF(RISK进展队列GEO回末测序数据整理!D181="男","男性",TRIM(RISK进展队列GEO回末测序数据整理!D181)))</f>
        <v>女性</v>
      </c>
      <c r="U182" s="22">
        <f>RISK进展队列GEO回末测序数据整理!E181</f>
        <v>12.67</v>
      </c>
      <c r="V182" s="22" t="str">
        <f>RISK进展队列GEO回末测序数据整理!F181</f>
        <v>A1b</v>
      </c>
      <c r="W182" s="22" t="str">
        <f>IF(RISK进展队列GEO回末测序数据整理!I181="Macroscopic inflammation","Macro",IF(RISK进展队列GEO回末测序数据整理!I181="Microscopic inflammation","Micro",TRIM(RISK进展队列GEO回末测序数据整理!I181)))</f>
        <v>NA</v>
      </c>
      <c r="X182" s="22" t="str">
        <f>IF(RISK进展队列GEO回末测序数据整理!J181=1,"Yes",IF(RISK进展队列GEO回末测序数据整理!J181=0,"No","N/A"))</f>
        <v>N/A</v>
      </c>
      <c r="Y182" s="22">
        <f>IF(Q182="","",IF(COUNTIF($Q$3:Q182,Q182)=1,1,0))</f>
        <v>1</v>
      </c>
      <c r="Z182" s="22">
        <f>IF(Q182="","",IF(COUNTIFS($Q$3:Q182,Q182,$R$3:R182,R182)=1,1,0))</f>
        <v>1</v>
      </c>
    </row>
    <row r="183" spans="16:26" x14ac:dyDescent="0.4">
      <c r="P183" s="22" t="str">
        <f>RISK进展队列GEO回末测序数据整理!A182</f>
        <v>GSM1598588</v>
      </c>
      <c r="Q183" s="22" t="str">
        <f>RISK进展队列GEO回末测序数据整理!B182</f>
        <v>CCFA_Risk_181</v>
      </c>
      <c r="R183" s="22" t="str">
        <f>IF(LOWER(TRIM(RISK进展队列GEO回末测序数据整理!G182))="not ibd","Not IBD",TRIM(RISK进展队列GEO回末测序数据整理!G182))</f>
        <v>CD</v>
      </c>
      <c r="S183" s="22" t="str">
        <f>IF(LOWER(TRIM(RISK进展队列GEO回末测序数据整理!H182))="not ibd","Not IBD",TRIM(RISK进展队列GEO回末测序数据整理!H182))</f>
        <v>iCD</v>
      </c>
      <c r="T183" s="22" t="str">
        <f>IF(RISK进展队列GEO回末测序数据整理!D182="女","女性",IF(RISK进展队列GEO回末测序数据整理!D182="男","男性",TRIM(RISK进展队列GEO回末测序数据整理!D182)))</f>
        <v>男性</v>
      </c>
      <c r="U183" s="22">
        <f>RISK进展队列GEO回末测序数据整理!E182</f>
        <v>8.42</v>
      </c>
      <c r="V183" s="22" t="str">
        <f>RISK进展队列GEO回末测序数据整理!F182</f>
        <v>A1a</v>
      </c>
      <c r="W183" s="22" t="str">
        <f>IF(RISK进展队列GEO回末测序数据整理!I182="Macroscopic inflammation","Macro",IF(RISK进展队列GEO回末测序数据整理!I182="Microscopic inflammation","Micro",TRIM(RISK进展队列GEO回末测序数据整理!I182)))</f>
        <v>Macro</v>
      </c>
      <c r="X183" s="22" t="str">
        <f>IF(RISK进展队列GEO回末测序数据整理!J182=1,"Yes",IF(RISK进展队列GEO回末测序数据整理!J182=0,"No","N/A"))</f>
        <v>Yes</v>
      </c>
      <c r="Y183" s="22">
        <f>IF(Q183="","",IF(COUNTIF($Q$3:Q183,Q183)=1,1,0))</f>
        <v>1</v>
      </c>
      <c r="Z183" s="22">
        <f>IF(Q183="","",IF(COUNTIFS($Q$3:Q183,Q183,$R$3:R183,R183)=1,1,0))</f>
        <v>1</v>
      </c>
    </row>
    <row r="184" spans="16:26" x14ac:dyDescent="0.4">
      <c r="P184" s="22" t="str">
        <f>RISK进展队列GEO回末测序数据整理!A183</f>
        <v>GSM1598589</v>
      </c>
      <c r="Q184" s="22" t="str">
        <f>RISK进展队列GEO回末测序数据整理!B183</f>
        <v>CCFA_Risk_182</v>
      </c>
      <c r="R184" s="22" t="str">
        <f>IF(LOWER(TRIM(RISK进展队列GEO回末测序数据整理!G183))="not ibd","Not IBD",TRIM(RISK进展队列GEO回末测序数据整理!G183))</f>
        <v>CD</v>
      </c>
      <c r="S184" s="22" t="str">
        <f>IF(LOWER(TRIM(RISK进展队列GEO回末测序数据整理!H183))="not ibd","Not IBD",TRIM(RISK进展队列GEO回末测序数据整理!H183))</f>
        <v>iCD</v>
      </c>
      <c r="T184" s="22" t="str">
        <f>IF(RISK进展队列GEO回末测序数据整理!D183="女","女性",IF(RISK进展队列GEO回末测序数据整理!D183="男","男性",TRIM(RISK进展队列GEO回末测序数据整理!D183)))</f>
        <v>男性</v>
      </c>
      <c r="U184" s="22">
        <f>RISK进展队列GEO回末测序数据整理!E183</f>
        <v>9.17</v>
      </c>
      <c r="V184" s="22" t="str">
        <f>RISK进展队列GEO回末测序数据整理!F183</f>
        <v>A1a</v>
      </c>
      <c r="W184" s="22" t="str">
        <f>IF(RISK进展队列GEO回末测序数据整理!I183="Macroscopic inflammation","Macro",IF(RISK进展队列GEO回末测序数据整理!I183="Microscopic inflammation","Micro",TRIM(RISK进展队列GEO回末测序数据整理!I183)))</f>
        <v>Macro</v>
      </c>
      <c r="X184" s="22" t="str">
        <f>IF(RISK进展队列GEO回末测序数据整理!J183=1,"Yes",IF(RISK进展队列GEO回末测序数据整理!J183=0,"No","N/A"))</f>
        <v>No</v>
      </c>
      <c r="Y184" s="22">
        <f>IF(Q184="","",IF(COUNTIF($Q$3:Q184,Q184)=1,1,0))</f>
        <v>1</v>
      </c>
      <c r="Z184" s="22">
        <f>IF(Q184="","",IF(COUNTIFS($Q$3:Q184,Q184,$R$3:R184,R184)=1,1,0))</f>
        <v>1</v>
      </c>
    </row>
    <row r="185" spans="16:26" x14ac:dyDescent="0.4">
      <c r="P185" s="22" t="str">
        <f>RISK进展队列GEO回末测序数据整理!A184</f>
        <v>GSM1598590</v>
      </c>
      <c r="Q185" s="22" t="str">
        <f>RISK进展队列GEO回末测序数据整理!B184</f>
        <v>CCFA_Risk_183</v>
      </c>
      <c r="R185" s="22" t="str">
        <f>IF(LOWER(TRIM(RISK进展队列GEO回末测序数据整理!G184))="not ibd","Not IBD",TRIM(RISK进展队列GEO回末测序数据整理!G184))</f>
        <v>CD</v>
      </c>
      <c r="S185" s="22" t="str">
        <f>IF(LOWER(TRIM(RISK进展队列GEO回末测序数据整理!H184))="not ibd","Not IBD",TRIM(RISK进展队列GEO回末测序数据整理!H184))</f>
        <v>iCD</v>
      </c>
      <c r="T185" s="22" t="str">
        <f>IF(RISK进展队列GEO回末测序数据整理!D184="女","女性",IF(RISK进展队列GEO回末测序数据整理!D184="男","男性",TRIM(RISK进展队列GEO回末测序数据整理!D184)))</f>
        <v>男性</v>
      </c>
      <c r="U185" s="22">
        <f>RISK进展队列GEO回末测序数据整理!E184</f>
        <v>7.33</v>
      </c>
      <c r="V185" s="22" t="str">
        <f>RISK进展队列GEO回末测序数据整理!F184</f>
        <v>A1a</v>
      </c>
      <c r="W185" s="22" t="str">
        <f>IF(RISK进展队列GEO回末测序数据整理!I184="Macroscopic inflammation","Macro",IF(RISK进展队列GEO回末测序数据整理!I184="Microscopic inflammation","Micro",TRIM(RISK进展队列GEO回末测序数据整理!I184)))</f>
        <v>Macro</v>
      </c>
      <c r="X185" s="22" t="str">
        <f>IF(RISK进展队列GEO回末测序数据整理!J184=1,"Yes",IF(RISK进展队列GEO回末测序数据整理!J184=0,"No","N/A"))</f>
        <v>Yes</v>
      </c>
      <c r="Y185" s="22">
        <f>IF(Q185="","",IF(COUNTIF($Q$3:Q185,Q185)=1,1,0))</f>
        <v>1</v>
      </c>
      <c r="Z185" s="22">
        <f>IF(Q185="","",IF(COUNTIFS($Q$3:Q185,Q185,$R$3:R185,R185)=1,1,0))</f>
        <v>1</v>
      </c>
    </row>
    <row r="186" spans="16:26" x14ac:dyDescent="0.4">
      <c r="P186" s="22" t="str">
        <f>RISK进展队列GEO回末测序数据整理!A185</f>
        <v>GSM1598591</v>
      </c>
      <c r="Q186" s="22" t="str">
        <f>RISK进展队列GEO回末测序数据整理!B185</f>
        <v>CCFA_Risk_184</v>
      </c>
      <c r="R186" s="22" t="str">
        <f>IF(LOWER(TRIM(RISK进展队列GEO回末测序数据整理!G185))="not ibd","Not IBD",TRIM(RISK进展队列GEO回末测序数据整理!G185))</f>
        <v>CD</v>
      </c>
      <c r="S186" s="22" t="str">
        <f>IF(LOWER(TRIM(RISK进展队列GEO回末测序数据整理!H185))="not ibd","Not IBD",TRIM(RISK进展队列GEO回末测序数据整理!H185))</f>
        <v>cCD</v>
      </c>
      <c r="T186" s="22" t="str">
        <f>IF(RISK进展队列GEO回末测序数据整理!D185="女","女性",IF(RISK进展队列GEO回末测序数据整理!D185="男","男性",TRIM(RISK进展队列GEO回末测序数据整理!D185)))</f>
        <v>男性</v>
      </c>
      <c r="U186" s="22">
        <f>RISK进展队列GEO回末测序数据整理!E185</f>
        <v>5.67</v>
      </c>
      <c r="V186" s="22" t="str">
        <f>RISK进展队列GEO回末测序数据整理!F185</f>
        <v>A1a</v>
      </c>
      <c r="W186" s="22" t="str">
        <f>IF(RISK进展队列GEO回末测序数据整理!I185="Macroscopic inflammation","Macro",IF(RISK进展队列GEO回末测序数据整理!I185="Microscopic inflammation","Micro",TRIM(RISK进展队列GEO回末测序数据整理!I185)))</f>
        <v>Micro</v>
      </c>
      <c r="X186" s="22" t="str">
        <f>IF(RISK进展队列GEO回末测序数据整理!J185=1,"Yes",IF(RISK进展队列GEO回末测序数据整理!J185=0,"No","N/A"))</f>
        <v>No</v>
      </c>
      <c r="Y186" s="22">
        <f>IF(Q186="","",IF(COUNTIF($Q$3:Q186,Q186)=1,1,0))</f>
        <v>1</v>
      </c>
      <c r="Z186" s="22">
        <f>IF(Q186="","",IF(COUNTIFS($Q$3:Q186,Q186,$R$3:R186,R186)=1,1,0))</f>
        <v>1</v>
      </c>
    </row>
    <row r="187" spans="16:26" x14ac:dyDescent="0.4">
      <c r="P187" s="22" t="str">
        <f>RISK进展队列GEO回末测序数据整理!A186</f>
        <v>GSM1598592</v>
      </c>
      <c r="Q187" s="22" t="str">
        <f>RISK进展队列GEO回末测序数据整理!B186</f>
        <v>CCFA_Risk_185</v>
      </c>
      <c r="R187" s="22" t="str">
        <f>IF(LOWER(TRIM(RISK进展队列GEO回末测序数据整理!G186))="not ibd","Not IBD",TRIM(RISK进展队列GEO回末测序数据整理!G186))</f>
        <v>CD</v>
      </c>
      <c r="S187" s="22" t="str">
        <f>IF(LOWER(TRIM(RISK进展队列GEO回末测序数据整理!H186))="not ibd","Not IBD",TRIM(RISK进展队列GEO回末测序数据整理!H186))</f>
        <v>iCD</v>
      </c>
      <c r="T187" s="22" t="str">
        <f>IF(RISK进展队列GEO回末测序数据整理!D186="女","女性",IF(RISK进展队列GEO回末测序数据整理!D186="男","男性",TRIM(RISK进展队列GEO回末测序数据整理!D186)))</f>
        <v>男性</v>
      </c>
      <c r="U187" s="22">
        <f>RISK进展队列GEO回末测序数据整理!E186</f>
        <v>8.75</v>
      </c>
      <c r="V187" s="22" t="str">
        <f>RISK进展队列GEO回末测序数据整理!F186</f>
        <v>A1a</v>
      </c>
      <c r="W187" s="22" t="str">
        <f>IF(RISK进展队列GEO回末测序数据整理!I186="Macroscopic inflammation","Macro",IF(RISK进展队列GEO回末测序数据整理!I186="Microscopic inflammation","Micro",TRIM(RISK进展队列GEO回末测序数据整理!I186)))</f>
        <v>Macro</v>
      </c>
      <c r="X187" s="22" t="str">
        <f>IF(RISK进展队列GEO回末测序数据整理!J186=1,"Yes",IF(RISK进展队列GEO回末测序数据整理!J186=0,"No","N/A"))</f>
        <v>No</v>
      </c>
      <c r="Y187" s="22">
        <f>IF(Q187="","",IF(COUNTIF($Q$3:Q187,Q187)=1,1,0))</f>
        <v>1</v>
      </c>
      <c r="Z187" s="22">
        <f>IF(Q187="","",IF(COUNTIFS($Q$3:Q187,Q187,$R$3:R187,R187)=1,1,0))</f>
        <v>1</v>
      </c>
    </row>
    <row r="188" spans="16:26" x14ac:dyDescent="0.4">
      <c r="P188" s="22" t="str">
        <f>RISK进展队列GEO回末测序数据整理!A187</f>
        <v>GSM1598593</v>
      </c>
      <c r="Q188" s="22" t="str">
        <f>RISK进展队列GEO回末测序数据整理!B187</f>
        <v>CCFA_Risk_186</v>
      </c>
      <c r="R188" s="22" t="str">
        <f>IF(LOWER(TRIM(RISK进展队列GEO回末测序数据整理!G187))="not ibd","Not IBD",TRIM(RISK进展队列GEO回末测序数据整理!G187))</f>
        <v>CD</v>
      </c>
      <c r="S188" s="22" t="str">
        <f>IF(LOWER(TRIM(RISK进展队列GEO回末测序数据整理!H187))="not ibd","Not IBD",TRIM(RISK进展队列GEO回末测序数据整理!H187))</f>
        <v>iCD</v>
      </c>
      <c r="T188" s="22" t="str">
        <f>IF(RISK进展队列GEO回末测序数据整理!D187="女","女性",IF(RISK进展队列GEO回末测序数据整理!D187="男","男性",TRIM(RISK进展队列GEO回末测序数据整理!D187)))</f>
        <v>男性</v>
      </c>
      <c r="U188" s="22">
        <f>RISK进展队列GEO回末测序数据整理!E187</f>
        <v>9.25</v>
      </c>
      <c r="V188" s="22" t="str">
        <f>RISK进展队列GEO回末测序数据整理!F187</f>
        <v>A1a</v>
      </c>
      <c r="W188" s="22" t="str">
        <f>IF(RISK进展队列GEO回末测序数据整理!I187="Macroscopic inflammation","Macro",IF(RISK进展队列GEO回末测序数据整理!I187="Microscopic inflammation","Micro",TRIM(RISK进展队列GEO回末测序数据整理!I187)))</f>
        <v>Macro</v>
      </c>
      <c r="X188" s="22" t="str">
        <f>IF(RISK进展队列GEO回末测序数据整理!J187=1,"Yes",IF(RISK进展队列GEO回末测序数据整理!J187=0,"No","N/A"))</f>
        <v>No</v>
      </c>
      <c r="Y188" s="22">
        <f>IF(Q188="","",IF(COUNTIF($Q$3:Q188,Q188)=1,1,0))</f>
        <v>1</v>
      </c>
      <c r="Z188" s="22">
        <f>IF(Q188="","",IF(COUNTIFS($Q$3:Q188,Q188,$R$3:R188,R188)=1,1,0))</f>
        <v>1</v>
      </c>
    </row>
    <row r="189" spans="16:26" x14ac:dyDescent="0.4">
      <c r="P189" s="22" t="str">
        <f>RISK进展队列GEO回末测序数据整理!A188</f>
        <v>GSM1598594</v>
      </c>
      <c r="Q189" s="22" t="str">
        <f>RISK进展队列GEO回末测序数据整理!B188</f>
        <v>CCFA_Risk_187</v>
      </c>
      <c r="R189" s="22" t="str">
        <f>IF(LOWER(TRIM(RISK进展队列GEO回末测序数据整理!G188))="not ibd","Not IBD",TRIM(RISK进展队列GEO回末测序数据整理!G188))</f>
        <v>CD</v>
      </c>
      <c r="S189" s="22" t="str">
        <f>IF(LOWER(TRIM(RISK进展队列GEO回末测序数据整理!H188))="not ibd","Not IBD",TRIM(RISK进展队列GEO回末测序数据整理!H188))</f>
        <v>iCD</v>
      </c>
      <c r="T189" s="22" t="str">
        <f>IF(RISK进展队列GEO回末测序数据整理!D188="女","女性",IF(RISK进展队列GEO回末测序数据整理!D188="男","男性",TRIM(RISK进展队列GEO回末测序数据整理!D188)))</f>
        <v>男性</v>
      </c>
      <c r="U189" s="22">
        <f>RISK进展队列GEO回末测序数据整理!E188</f>
        <v>8</v>
      </c>
      <c r="V189" s="22" t="str">
        <f>RISK进展队列GEO回末测序数据整理!F188</f>
        <v>A1a</v>
      </c>
      <c r="W189" s="22" t="str">
        <f>IF(RISK进展队列GEO回末测序数据整理!I188="Macroscopic inflammation","Macro",IF(RISK进展队列GEO回末测序数据整理!I188="Microscopic inflammation","Micro",TRIM(RISK进展队列GEO回末测序数据整理!I188)))</f>
        <v>Macro</v>
      </c>
      <c r="X189" s="22" t="str">
        <f>IF(RISK进展队列GEO回末测序数据整理!J188=1,"Yes",IF(RISK进展队列GEO回末测序数据整理!J188=0,"No","N/A"))</f>
        <v>No</v>
      </c>
      <c r="Y189" s="22">
        <f>IF(Q189="","",IF(COUNTIF($Q$3:Q189,Q189)=1,1,0))</f>
        <v>1</v>
      </c>
      <c r="Z189" s="22">
        <f>IF(Q189="","",IF(COUNTIFS($Q$3:Q189,Q189,$R$3:R189,R189)=1,1,0))</f>
        <v>1</v>
      </c>
    </row>
    <row r="190" spans="16:26" x14ac:dyDescent="0.4">
      <c r="P190" s="22" t="str">
        <f>RISK进展队列GEO回末测序数据整理!A189</f>
        <v>GSM1598595</v>
      </c>
      <c r="Q190" s="22" t="str">
        <f>RISK进展队列GEO回末测序数据整理!B189</f>
        <v>CCFA_Risk_188</v>
      </c>
      <c r="R190" s="22" t="str">
        <f>IF(LOWER(TRIM(RISK进展队列GEO回末测序数据整理!G189))="not ibd","Not IBD",TRIM(RISK进展队列GEO回末测序数据整理!G189))</f>
        <v>CD</v>
      </c>
      <c r="S190" s="22" t="str">
        <f>IF(LOWER(TRIM(RISK进展队列GEO回末测序数据整理!H189))="not ibd","Not IBD",TRIM(RISK进展队列GEO回末测序数据整理!H189))</f>
        <v>iCD</v>
      </c>
      <c r="T190" s="22" t="str">
        <f>IF(RISK进展队列GEO回末测序数据整理!D189="女","女性",IF(RISK进展队列GEO回末测序数据整理!D189="男","男性",TRIM(RISK进展队列GEO回末测序数据整理!D189)))</f>
        <v>女性</v>
      </c>
      <c r="U190" s="22">
        <f>RISK进展队列GEO回末测序数据整理!E189</f>
        <v>6.17</v>
      </c>
      <c r="V190" s="22" t="str">
        <f>RISK进展队列GEO回末测序数据整理!F189</f>
        <v>A1a</v>
      </c>
      <c r="W190" s="22" t="str">
        <f>IF(RISK进展队列GEO回末测序数据整理!I189="Macroscopic inflammation","Macro",IF(RISK进展队列GEO回末测序数据整理!I189="Microscopic inflammation","Micro",TRIM(RISK进展队列GEO回末测序数据整理!I189)))</f>
        <v>Macro</v>
      </c>
      <c r="X190" s="22" t="str">
        <f>IF(RISK进展队列GEO回末测序数据整理!J189=1,"Yes",IF(RISK进展队列GEO回末测序数据整理!J189=0,"No","N/A"))</f>
        <v>No</v>
      </c>
      <c r="Y190" s="22">
        <f>IF(Q190="","",IF(COUNTIF($Q$3:Q190,Q190)=1,1,0))</f>
        <v>1</v>
      </c>
      <c r="Z190" s="22">
        <f>IF(Q190="","",IF(COUNTIFS($Q$3:Q190,Q190,$R$3:R190,R190)=1,1,0))</f>
        <v>1</v>
      </c>
    </row>
    <row r="191" spans="16:26" x14ac:dyDescent="0.4">
      <c r="P191" s="22" t="str">
        <f>RISK进展队列GEO回末测序数据整理!A190</f>
        <v>GSM1598596</v>
      </c>
      <c r="Q191" s="22" t="str">
        <f>RISK进展队列GEO回末测序数据整理!B190</f>
        <v>CCFA_Risk_189</v>
      </c>
      <c r="R191" s="22" t="str">
        <f>IF(LOWER(TRIM(RISK进展队列GEO回末测序数据整理!G190))="not ibd","Not IBD",TRIM(RISK进展队列GEO回末测序数据整理!G190))</f>
        <v>CD</v>
      </c>
      <c r="S191" s="22" t="str">
        <f>IF(LOWER(TRIM(RISK进展队列GEO回末测序数据整理!H190))="not ibd","Not IBD",TRIM(RISK进展队列GEO回末测序数据整理!H190))</f>
        <v>iCD</v>
      </c>
      <c r="T191" s="22" t="str">
        <f>IF(RISK进展队列GEO回末测序数据整理!D190="女","女性",IF(RISK进展队列GEO回末测序数据整理!D190="男","男性",TRIM(RISK进展队列GEO回末测序数据整理!D190)))</f>
        <v>女性</v>
      </c>
      <c r="U191" s="22">
        <f>RISK进展队列GEO回末测序数据整理!E190</f>
        <v>8</v>
      </c>
      <c r="V191" s="22" t="str">
        <f>RISK进展队列GEO回末测序数据整理!F190</f>
        <v>A1a</v>
      </c>
      <c r="W191" s="22" t="str">
        <f>IF(RISK进展队列GEO回末测序数据整理!I190="Macroscopic inflammation","Macro",IF(RISK进展队列GEO回末测序数据整理!I190="Microscopic inflammation","Micro",TRIM(RISK进展队列GEO回末测序数据整理!I190)))</f>
        <v>Macro</v>
      </c>
      <c r="X191" s="22" t="str">
        <f>IF(RISK进展队列GEO回末测序数据整理!J190=1,"Yes",IF(RISK进展队列GEO回末测序数据整理!J190=0,"No","N/A"))</f>
        <v>No</v>
      </c>
      <c r="Y191" s="22">
        <f>IF(Q191="","",IF(COUNTIF($Q$3:Q191,Q191)=1,1,0))</f>
        <v>1</v>
      </c>
      <c r="Z191" s="22">
        <f>IF(Q191="","",IF(COUNTIFS($Q$3:Q191,Q191,$R$3:R191,R191)=1,1,0))</f>
        <v>1</v>
      </c>
    </row>
    <row r="192" spans="16:26" x14ac:dyDescent="0.4">
      <c r="P192" s="22" t="str">
        <f>RISK进展队列GEO回末测序数据整理!A191</f>
        <v>GSM1598597</v>
      </c>
      <c r="Q192" s="22" t="str">
        <f>RISK进展队列GEO回末测序数据整理!B191</f>
        <v>CCFA_Risk_190</v>
      </c>
      <c r="R192" s="22" t="str">
        <f>IF(LOWER(TRIM(RISK进展队列GEO回末测序数据整理!G191))="not ibd","Not IBD",TRIM(RISK进展队列GEO回末测序数据整理!G191))</f>
        <v>CD</v>
      </c>
      <c r="S192" s="22" t="str">
        <f>IF(LOWER(TRIM(RISK进展队列GEO回末测序数据整理!H191))="not ibd","Not IBD",TRIM(RISK进展队列GEO回末测序数据整理!H191))</f>
        <v>iCD</v>
      </c>
      <c r="T192" s="22" t="str">
        <f>IF(RISK进展队列GEO回末测序数据整理!D191="女","女性",IF(RISK进展队列GEO回末测序数据整理!D191="男","男性",TRIM(RISK进展队列GEO回末测序数据整理!D191)))</f>
        <v>男性</v>
      </c>
      <c r="U192" s="22">
        <f>RISK进展队列GEO回末测序数据整理!E191</f>
        <v>7.17</v>
      </c>
      <c r="V192" s="22" t="str">
        <f>RISK进展队列GEO回末测序数据整理!F191</f>
        <v>A1a</v>
      </c>
      <c r="W192" s="22" t="str">
        <f>IF(RISK进展队列GEO回末测序数据整理!I191="Macroscopic inflammation","Macro",IF(RISK进展队列GEO回末测序数据整理!I191="Microscopic inflammation","Micro",TRIM(RISK进展队列GEO回末测序数据整理!I191)))</f>
        <v>Macro</v>
      </c>
      <c r="X192" s="22" t="str">
        <f>IF(RISK进展队列GEO回末测序数据整理!J191=1,"Yes",IF(RISK进展队列GEO回末测序数据整理!J191=0,"No","N/A"))</f>
        <v>No</v>
      </c>
      <c r="Y192" s="22">
        <f>IF(Q192="","",IF(COUNTIF($Q$3:Q192,Q192)=1,1,0))</f>
        <v>1</v>
      </c>
      <c r="Z192" s="22">
        <f>IF(Q192="","",IF(COUNTIFS($Q$3:Q192,Q192,$R$3:R192,R192)=1,1,0))</f>
        <v>1</v>
      </c>
    </row>
    <row r="193" spans="16:26" x14ac:dyDescent="0.4">
      <c r="P193" s="22" t="str">
        <f>RISK进展队列GEO回末测序数据整理!A192</f>
        <v>GSM1598598</v>
      </c>
      <c r="Q193" s="22" t="str">
        <f>RISK进展队列GEO回末测序数据整理!B192</f>
        <v>CCFA_Risk_191</v>
      </c>
      <c r="R193" s="22" t="str">
        <f>IF(LOWER(TRIM(RISK进展队列GEO回末测序数据整理!G192))="not ibd","Not IBD",TRIM(RISK进展队列GEO回末测序数据整理!G192))</f>
        <v>CD</v>
      </c>
      <c r="S193" s="22" t="str">
        <f>IF(LOWER(TRIM(RISK进展队列GEO回末测序数据整理!H192))="not ibd","Not IBD",TRIM(RISK进展队列GEO回末测序数据整理!H192))</f>
        <v>iCD</v>
      </c>
      <c r="T193" s="22" t="str">
        <f>IF(RISK进展队列GEO回末测序数据整理!D192="女","女性",IF(RISK进展队列GEO回末测序数据整理!D192="男","男性",TRIM(RISK进展队列GEO回末测序数据整理!D192)))</f>
        <v>女性</v>
      </c>
      <c r="U193" s="22">
        <f>RISK进展队列GEO回末测序数据整理!E192</f>
        <v>14.5</v>
      </c>
      <c r="V193" s="22" t="str">
        <f>RISK进展队列GEO回末测序数据整理!F192</f>
        <v>A1b</v>
      </c>
      <c r="W193" s="22" t="str">
        <f>IF(RISK进展队列GEO回末测序数据整理!I192="Macroscopic inflammation","Macro",IF(RISK进展队列GEO回末测序数据整理!I192="Microscopic inflammation","Micro",TRIM(RISK进展队列GEO回末测序数据整理!I192)))</f>
        <v>Macro</v>
      </c>
      <c r="X193" s="22" t="str">
        <f>IF(RISK进展队列GEO回末测序数据整理!J192=1,"Yes",IF(RISK进展队列GEO回末测序数据整理!J192=0,"No","N/A"))</f>
        <v>No</v>
      </c>
      <c r="Y193" s="22">
        <f>IF(Q193="","",IF(COUNTIF($Q$3:Q193,Q193)=1,1,0))</f>
        <v>1</v>
      </c>
      <c r="Z193" s="22">
        <f>IF(Q193="","",IF(COUNTIFS($Q$3:Q193,Q193,$R$3:R193,R193)=1,1,0))</f>
        <v>1</v>
      </c>
    </row>
    <row r="194" spans="16:26" x14ac:dyDescent="0.4">
      <c r="P194" s="22" t="str">
        <f>RISK进展队列GEO回末测序数据整理!A193</f>
        <v>GSM1598599</v>
      </c>
      <c r="Q194" s="22" t="str">
        <f>RISK进展队列GEO回末测序数据整理!B193</f>
        <v>CCFA_Risk_192</v>
      </c>
      <c r="R194" s="22" t="str">
        <f>IF(LOWER(TRIM(RISK进展队列GEO回末测序数据整理!G193))="not ibd","Not IBD",TRIM(RISK进展队列GEO回末测序数据整理!G193))</f>
        <v>CD</v>
      </c>
      <c r="S194" s="22" t="str">
        <f>IF(LOWER(TRIM(RISK进展队列GEO回末测序数据整理!H193))="not ibd","Not IBD",TRIM(RISK进展队列GEO回末测序数据整理!H193))</f>
        <v>cCD</v>
      </c>
      <c r="T194" s="22" t="str">
        <f>IF(RISK进展队列GEO回末测序数据整理!D193="女","女性",IF(RISK进展队列GEO回末测序数据整理!D193="男","男性",TRIM(RISK进展队列GEO回末测序数据整理!D193)))</f>
        <v>男性</v>
      </c>
      <c r="U194" s="22">
        <f>RISK进展队列GEO回末测序数据整理!E193</f>
        <v>15.17</v>
      </c>
      <c r="V194" s="22" t="str">
        <f>RISK进展队列GEO回末测序数据整理!F193</f>
        <v>A1b</v>
      </c>
      <c r="W194" s="22" t="str">
        <f>IF(RISK进展队列GEO回末测序数据整理!I193="Macroscopic inflammation","Macro",IF(RISK进展队列GEO回末测序数据整理!I193="Microscopic inflammation","Micro",TRIM(RISK进展队列GEO回末测序数据整理!I193)))</f>
        <v>Undetermined</v>
      </c>
      <c r="X194" s="22" t="str">
        <f>IF(RISK进展队列GEO回末测序数据整理!J193=1,"Yes",IF(RISK进展队列GEO回末测序数据整理!J193=0,"No","N/A"))</f>
        <v>No</v>
      </c>
      <c r="Y194" s="22">
        <f>IF(Q194="","",IF(COUNTIF($Q$3:Q194,Q194)=1,1,0))</f>
        <v>1</v>
      </c>
      <c r="Z194" s="22">
        <f>IF(Q194="","",IF(COUNTIFS($Q$3:Q194,Q194,$R$3:R194,R194)=1,1,0))</f>
        <v>1</v>
      </c>
    </row>
    <row r="195" spans="16:26" x14ac:dyDescent="0.4">
      <c r="P195" s="22" t="str">
        <f>RISK进展队列GEO回末测序数据整理!A194</f>
        <v>GSM1598600</v>
      </c>
      <c r="Q195" s="22" t="str">
        <f>RISK进展队列GEO回末测序数据整理!B194</f>
        <v>CCFA_Risk_193</v>
      </c>
      <c r="R195" s="22" t="str">
        <f>IF(LOWER(TRIM(RISK进展队列GEO回末测序数据整理!G194))="not ibd","Not IBD",TRIM(RISK进展队列GEO回末测序数据整理!G194))</f>
        <v>CD</v>
      </c>
      <c r="S195" s="22" t="str">
        <f>IF(LOWER(TRIM(RISK进展队列GEO回末测序数据整理!H194))="not ibd","Not IBD",TRIM(RISK进展队列GEO回末测序数据整理!H194))</f>
        <v>iCD</v>
      </c>
      <c r="T195" s="22" t="str">
        <f>IF(RISK进展队列GEO回末测序数据整理!D194="女","女性",IF(RISK进展队列GEO回末测序数据整理!D194="男","男性",TRIM(RISK进展队列GEO回末测序数据整理!D194)))</f>
        <v>女性</v>
      </c>
      <c r="U195" s="22">
        <f>RISK进展队列GEO回末测序数据整理!E194</f>
        <v>15.25</v>
      </c>
      <c r="V195" s="22" t="str">
        <f>RISK进展队列GEO回末测序数据整理!F194</f>
        <v>A1b</v>
      </c>
      <c r="W195" s="22" t="str">
        <f>IF(RISK进展队列GEO回末测序数据整理!I194="Macroscopic inflammation","Macro",IF(RISK进展队列GEO回末测序数据整理!I194="Microscopic inflammation","Micro",TRIM(RISK进展队列GEO回末测序数据整理!I194)))</f>
        <v>Macro</v>
      </c>
      <c r="X195" s="22" t="str">
        <f>IF(RISK进展队列GEO回末测序数据整理!J194=1,"Yes",IF(RISK进展队列GEO回末测序数据整理!J194=0,"No","N/A"))</f>
        <v>Yes</v>
      </c>
      <c r="Y195" s="22">
        <f>IF(Q195="","",IF(COUNTIF($Q$3:Q195,Q195)=1,1,0))</f>
        <v>1</v>
      </c>
      <c r="Z195" s="22">
        <f>IF(Q195="","",IF(COUNTIFS($Q$3:Q195,Q195,$R$3:R195,R195)=1,1,0))</f>
        <v>1</v>
      </c>
    </row>
    <row r="196" spans="16:26" x14ac:dyDescent="0.4">
      <c r="P196" s="22" t="str">
        <f>RISK进展队列GEO回末测序数据整理!A195</f>
        <v>GSM1598601</v>
      </c>
      <c r="Q196" s="22" t="str">
        <f>RISK进展队列GEO回末测序数据整理!B195</f>
        <v>CCFA_Risk_194</v>
      </c>
      <c r="R196" s="22" t="str">
        <f>IF(LOWER(TRIM(RISK进展队列GEO回末测序数据整理!G195))="not ibd","Not IBD",TRIM(RISK进展队列GEO回末测序数据整理!G195))</f>
        <v>CD</v>
      </c>
      <c r="S196" s="22" t="str">
        <f>IF(LOWER(TRIM(RISK进展队列GEO回末测序数据整理!H195))="not ibd","Not IBD",TRIM(RISK进展队列GEO回末测序数据整理!H195))</f>
        <v>cCD</v>
      </c>
      <c r="T196" s="22" t="str">
        <f>IF(RISK进展队列GEO回末测序数据整理!D195="女","女性",IF(RISK进展队列GEO回末测序数据整理!D195="男","男性",TRIM(RISK进展队列GEO回末测序数据整理!D195)))</f>
        <v>女性</v>
      </c>
      <c r="U196" s="22">
        <f>RISK进展队列GEO回末测序数据整理!E195</f>
        <v>9.5</v>
      </c>
      <c r="V196" s="22" t="str">
        <f>RISK进展队列GEO回末测序数据整理!F195</f>
        <v>A1a</v>
      </c>
      <c r="W196" s="22" t="str">
        <f>IF(RISK进展队列GEO回末测序数据整理!I195="Macroscopic inflammation","Macro",IF(RISK进展队列GEO回末测序数据整理!I195="Microscopic inflammation","Micro",TRIM(RISK进展队列GEO回末测序数据整理!I195)))</f>
        <v>Normal</v>
      </c>
      <c r="X196" s="22" t="str">
        <f>IF(RISK进展队列GEO回末测序数据整理!J195=1,"Yes",IF(RISK进展队列GEO回末测序数据整理!J195=0,"No","N/A"))</f>
        <v>No</v>
      </c>
      <c r="Y196" s="22">
        <f>IF(Q196="","",IF(COUNTIF($Q$3:Q196,Q196)=1,1,0))</f>
        <v>1</v>
      </c>
      <c r="Z196" s="22">
        <f>IF(Q196="","",IF(COUNTIFS($Q$3:Q196,Q196,$R$3:R196,R196)=1,1,0))</f>
        <v>1</v>
      </c>
    </row>
    <row r="197" spans="16:26" x14ac:dyDescent="0.4">
      <c r="P197" s="22" t="str">
        <f>RISK进展队列GEO回末测序数据整理!A196</f>
        <v>GSM1598602</v>
      </c>
      <c r="Q197" s="22" t="str">
        <f>RISK进展队列GEO回末测序数据整理!B196</f>
        <v>CCFA_Risk_195</v>
      </c>
      <c r="R197" s="22" t="str">
        <f>IF(LOWER(TRIM(RISK进展队列GEO回末测序数据整理!G196))="not ibd","Not IBD",TRIM(RISK进展队列GEO回末测序数据整理!G196))</f>
        <v>CD</v>
      </c>
      <c r="S197" s="22" t="str">
        <f>IF(LOWER(TRIM(RISK进展队列GEO回末测序数据整理!H196))="not ibd","Not IBD",TRIM(RISK进展队列GEO回末测序数据整理!H196))</f>
        <v>cCD</v>
      </c>
      <c r="T197" s="22" t="str">
        <f>IF(RISK进展队列GEO回末测序数据整理!D196="女","女性",IF(RISK进展队列GEO回末测序数据整理!D196="男","男性",TRIM(RISK进展队列GEO回末测序数据整理!D196)))</f>
        <v>男性</v>
      </c>
      <c r="U197" s="22">
        <f>RISK进展队列GEO回末测序数据整理!E196</f>
        <v>14.33</v>
      </c>
      <c r="V197" s="22" t="str">
        <f>RISK进展队列GEO回末测序数据整理!F196</f>
        <v>A1b</v>
      </c>
      <c r="W197" s="22" t="str">
        <f>IF(RISK进展队列GEO回末测序数据整理!I196="Macroscopic inflammation","Macro",IF(RISK进展队列GEO回末测序数据整理!I196="Microscopic inflammation","Micro",TRIM(RISK进展队列GEO回末测序数据整理!I196)))</f>
        <v>Normal</v>
      </c>
      <c r="X197" s="22" t="str">
        <f>IF(RISK进展队列GEO回末测序数据整理!J196=1,"Yes",IF(RISK进展队列GEO回末测序数据整理!J196=0,"No","N/A"))</f>
        <v>No</v>
      </c>
      <c r="Y197" s="22">
        <f>IF(Q197="","",IF(COUNTIF($Q$3:Q197,Q197)=1,1,0))</f>
        <v>1</v>
      </c>
      <c r="Z197" s="22">
        <f>IF(Q197="","",IF(COUNTIFS($Q$3:Q197,Q197,$R$3:R197,R197)=1,1,0))</f>
        <v>1</v>
      </c>
    </row>
    <row r="198" spans="16:26" x14ac:dyDescent="0.4">
      <c r="P198" s="22" t="str">
        <f>RISK进展队列GEO回末测序数据整理!A197</f>
        <v>GSM1598603</v>
      </c>
      <c r="Q198" s="22" t="str">
        <f>RISK进展队列GEO回末测序数据整理!B197</f>
        <v>CCFA_Risk_196</v>
      </c>
      <c r="R198" s="22" t="str">
        <f>IF(LOWER(TRIM(RISK进展队列GEO回末测序数据整理!G197))="not ibd","Not IBD",TRIM(RISK进展队列GEO回末测序数据整理!G197))</f>
        <v>CD</v>
      </c>
      <c r="S198" s="22" t="str">
        <f>IF(LOWER(TRIM(RISK进展队列GEO回末测序数据整理!H197))="not ibd","Not IBD",TRIM(RISK进展队列GEO回末测序数据整理!H197))</f>
        <v>iCD</v>
      </c>
      <c r="T198" s="22" t="str">
        <f>IF(RISK进展队列GEO回末测序数据整理!D197="女","女性",IF(RISK进展队列GEO回末测序数据整理!D197="男","男性",TRIM(RISK进展队列GEO回末测序数据整理!D197)))</f>
        <v>女性</v>
      </c>
      <c r="U198" s="22">
        <f>RISK进展队列GEO回末测序数据整理!E197</f>
        <v>13.92</v>
      </c>
      <c r="V198" s="22" t="str">
        <f>RISK进展队列GEO回末测序数据整理!F197</f>
        <v>A1b</v>
      </c>
      <c r="W198" s="22" t="str">
        <f>IF(RISK进展队列GEO回末测序数据整理!I197="Macroscopic inflammation","Macro",IF(RISK进展队列GEO回末测序数据整理!I197="Microscopic inflammation","Micro",TRIM(RISK进展队列GEO回末测序数据整理!I197)))</f>
        <v>Macro</v>
      </c>
      <c r="X198" s="22" t="str">
        <f>IF(RISK进展队列GEO回末测序数据整理!J197=1,"Yes",IF(RISK进展队列GEO回末测序数据整理!J197=0,"No","N/A"))</f>
        <v>Yes</v>
      </c>
      <c r="Y198" s="22">
        <f>IF(Q198="","",IF(COUNTIF($Q$3:Q198,Q198)=1,1,0))</f>
        <v>1</v>
      </c>
      <c r="Z198" s="22">
        <f>IF(Q198="","",IF(COUNTIFS($Q$3:Q198,Q198,$R$3:R198,R198)=1,1,0))</f>
        <v>1</v>
      </c>
    </row>
    <row r="199" spans="16:26" x14ac:dyDescent="0.4">
      <c r="P199" s="22" t="str">
        <f>RISK进展队列GEO回末测序数据整理!A198</f>
        <v>GSM1598604</v>
      </c>
      <c r="Q199" s="22" t="str">
        <f>RISK进展队列GEO回末测序数据整理!B198</f>
        <v>CCFA_Risk_197</v>
      </c>
      <c r="R199" s="22" t="str">
        <f>IF(LOWER(TRIM(RISK进展队列GEO回末测序数据整理!G198))="not ibd","Not IBD",TRIM(RISK进展队列GEO回末测序数据整理!G198))</f>
        <v>CD</v>
      </c>
      <c r="S199" s="22" t="str">
        <f>IF(LOWER(TRIM(RISK进展队列GEO回末测序数据整理!H198))="not ibd","Not IBD",TRIM(RISK进展队列GEO回末测序数据整理!H198))</f>
        <v>iCD</v>
      </c>
      <c r="T199" s="22" t="str">
        <f>IF(RISK进展队列GEO回末测序数据整理!D198="女","女性",IF(RISK进展队列GEO回末测序数据整理!D198="男","男性",TRIM(RISK进展队列GEO回末测序数据整理!D198)))</f>
        <v>男性</v>
      </c>
      <c r="U199" s="22">
        <f>RISK进展队列GEO回末测序数据整理!E198</f>
        <v>11.25</v>
      </c>
      <c r="V199" s="22" t="str">
        <f>RISK进展队列GEO回末测序数据整理!F198</f>
        <v>A1b</v>
      </c>
      <c r="W199" s="22" t="str">
        <f>IF(RISK进展队列GEO回末测序数据整理!I198="Macroscopic inflammation","Macro",IF(RISK进展队列GEO回末测序数据整理!I198="Microscopic inflammation","Micro",TRIM(RISK进展队列GEO回末测序数据整理!I198)))</f>
        <v>Macro</v>
      </c>
      <c r="X199" s="22" t="str">
        <f>IF(RISK进展队列GEO回末测序数据整理!J198=1,"Yes",IF(RISK进展队列GEO回末测序数据整理!J198=0,"No","N/A"))</f>
        <v>No</v>
      </c>
      <c r="Y199" s="22">
        <f>IF(Q199="","",IF(COUNTIF($Q$3:Q199,Q199)=1,1,0))</f>
        <v>1</v>
      </c>
      <c r="Z199" s="22">
        <f>IF(Q199="","",IF(COUNTIFS($Q$3:Q199,Q199,$R$3:R199,R199)=1,1,0))</f>
        <v>1</v>
      </c>
    </row>
    <row r="200" spans="16:26" x14ac:dyDescent="0.4">
      <c r="P200" s="22" t="str">
        <f>RISK进展队列GEO回末测序数据整理!A199</f>
        <v>GSM1598605</v>
      </c>
      <c r="Q200" s="22" t="str">
        <f>RISK进展队列GEO回末测序数据整理!B199</f>
        <v>CCFA_Risk_198</v>
      </c>
      <c r="R200" s="22" t="str">
        <f>IF(LOWER(TRIM(RISK进展队列GEO回末测序数据整理!G199))="not ibd","Not IBD",TRIM(RISK进展队列GEO回末测序数据整理!G199))</f>
        <v>CD</v>
      </c>
      <c r="S200" s="22" t="str">
        <f>IF(LOWER(TRIM(RISK进展队列GEO回末测序数据整理!H199))="not ibd","Not IBD",TRIM(RISK进展队列GEO回末测序数据整理!H199))</f>
        <v>cCD</v>
      </c>
      <c r="T200" s="22" t="str">
        <f>IF(RISK进展队列GEO回末测序数据整理!D199="女","女性",IF(RISK进展队列GEO回末测序数据整理!D199="男","男性",TRIM(RISK进展队列GEO回末测序数据整理!D199)))</f>
        <v>男性</v>
      </c>
      <c r="U200" s="22">
        <f>RISK进展队列GEO回末测序数据整理!E199</f>
        <v>13.75</v>
      </c>
      <c r="V200" s="22" t="str">
        <f>RISK进展队列GEO回末测序数据整理!F199</f>
        <v>A1b</v>
      </c>
      <c r="W200" s="22" t="str">
        <f>IF(RISK进展队列GEO回末测序数据整理!I199="Macroscopic inflammation","Macro",IF(RISK进展队列GEO回末测序数据整理!I199="Microscopic inflammation","Micro",TRIM(RISK进展队列GEO回末测序数据整理!I199)))</f>
        <v>Normal</v>
      </c>
      <c r="X200" s="22" t="str">
        <f>IF(RISK进展队列GEO回末测序数据整理!J199=1,"Yes",IF(RISK进展队列GEO回末测序数据整理!J199=0,"No","N/A"))</f>
        <v>No</v>
      </c>
      <c r="Y200" s="22">
        <f>IF(Q200="","",IF(COUNTIF($Q$3:Q200,Q200)=1,1,0))</f>
        <v>1</v>
      </c>
      <c r="Z200" s="22">
        <f>IF(Q200="","",IF(COUNTIFS($Q$3:Q200,Q200,$R$3:R200,R200)=1,1,0))</f>
        <v>1</v>
      </c>
    </row>
    <row r="201" spans="16:26" x14ac:dyDescent="0.4">
      <c r="P201" s="22" t="str">
        <f>RISK进展队列GEO回末测序数据整理!A200</f>
        <v>GSM1598606</v>
      </c>
      <c r="Q201" s="22" t="str">
        <f>RISK进展队列GEO回末测序数据整理!B200</f>
        <v>CCFA_Risk_199</v>
      </c>
      <c r="R201" s="22" t="str">
        <f>IF(LOWER(TRIM(RISK进展队列GEO回末测序数据整理!G200))="not ibd","Not IBD",TRIM(RISK进展队列GEO回末测序数据整理!G200))</f>
        <v>CD</v>
      </c>
      <c r="S201" s="22" t="str">
        <f>IF(LOWER(TRIM(RISK进展队列GEO回末测序数据整理!H200))="not ibd","Not IBD",TRIM(RISK进展队列GEO回末测序数据整理!H200))</f>
        <v>iCD</v>
      </c>
      <c r="T201" s="22" t="str">
        <f>IF(RISK进展队列GEO回末测序数据整理!D200="女","女性",IF(RISK进展队列GEO回末测序数据整理!D200="男","男性",TRIM(RISK进展队列GEO回末测序数据整理!D200)))</f>
        <v>女性</v>
      </c>
      <c r="U201" s="22">
        <f>RISK进展队列GEO回末测序数据整理!E200</f>
        <v>14.33</v>
      </c>
      <c r="V201" s="22" t="str">
        <f>RISK进展队列GEO回末测序数据整理!F200</f>
        <v>A1b</v>
      </c>
      <c r="W201" s="22" t="str">
        <f>IF(RISK进展队列GEO回末测序数据整理!I200="Macroscopic inflammation","Macro",IF(RISK进展队列GEO回末测序数据整理!I200="Microscopic inflammation","Micro",TRIM(RISK进展队列GEO回末测序数据整理!I200)))</f>
        <v>Macro</v>
      </c>
      <c r="X201" s="22" t="str">
        <f>IF(RISK进展队列GEO回末测序数据整理!J200=1,"Yes",IF(RISK进展队列GEO回末测序数据整理!J200=0,"No","N/A"))</f>
        <v>Yes</v>
      </c>
      <c r="Y201" s="22">
        <f>IF(Q201="","",IF(COUNTIF($Q$3:Q201,Q201)=1,1,0))</f>
        <v>1</v>
      </c>
      <c r="Z201" s="22">
        <f>IF(Q201="","",IF(COUNTIFS($Q$3:Q201,Q201,$R$3:R201,R201)=1,1,0))</f>
        <v>1</v>
      </c>
    </row>
    <row r="202" spans="16:26" x14ac:dyDescent="0.4">
      <c r="P202" s="22" t="str">
        <f>RISK进展队列GEO回末测序数据整理!A201</f>
        <v>GSM1598607</v>
      </c>
      <c r="Q202" s="22" t="str">
        <f>RISK进展队列GEO回末测序数据整理!B201</f>
        <v>CCFA_Risk_200</v>
      </c>
      <c r="R202" s="22" t="str">
        <f>IF(LOWER(TRIM(RISK进展队列GEO回末测序数据整理!G201))="not ibd","Not IBD",TRIM(RISK进展队列GEO回末测序数据整理!G201))</f>
        <v>CD</v>
      </c>
      <c r="S202" s="22" t="str">
        <f>IF(LOWER(TRIM(RISK进展队列GEO回末测序数据整理!H201))="not ibd","Not IBD",TRIM(RISK进展队列GEO回末测序数据整理!H201))</f>
        <v>iCD</v>
      </c>
      <c r="T202" s="22" t="str">
        <f>IF(RISK进展队列GEO回末测序数据整理!D201="女","女性",IF(RISK进展队列GEO回末测序数据整理!D201="男","男性",TRIM(RISK进展队列GEO回末测序数据整理!D201)))</f>
        <v>女性</v>
      </c>
      <c r="U202" s="22">
        <f>RISK进展队列GEO回末测序数据整理!E201</f>
        <v>15.58</v>
      </c>
      <c r="V202" s="22" t="str">
        <f>RISK进展队列GEO回末测序数据整理!F201</f>
        <v>A1b</v>
      </c>
      <c r="W202" s="22" t="str">
        <f>IF(RISK进展队列GEO回末测序数据整理!I201="Macroscopic inflammation","Macro",IF(RISK进展队列GEO回末测序数据整理!I201="Microscopic inflammation","Micro",TRIM(RISK进展队列GEO回末测序数据整理!I201)))</f>
        <v>Macro</v>
      </c>
      <c r="X202" s="22" t="str">
        <f>IF(RISK进展队列GEO回末测序数据整理!J201=1,"Yes",IF(RISK进展队列GEO回末测序数据整理!J201=0,"No","N/A"))</f>
        <v>No</v>
      </c>
      <c r="Y202" s="22">
        <f>IF(Q202="","",IF(COUNTIF($Q$3:Q202,Q202)=1,1,0))</f>
        <v>1</v>
      </c>
      <c r="Z202" s="22">
        <f>IF(Q202="","",IF(COUNTIFS($Q$3:Q202,Q202,$R$3:R202,R202)=1,1,0))</f>
        <v>1</v>
      </c>
    </row>
    <row r="203" spans="16:26" x14ac:dyDescent="0.4">
      <c r="P203" s="22" t="str">
        <f>RISK进展队列GEO回末测序数据整理!A202</f>
        <v>GSM1598608</v>
      </c>
      <c r="Q203" s="22" t="str">
        <f>RISK进展队列GEO回末测序数据整理!B202</f>
        <v>CCFA_Risk_201</v>
      </c>
      <c r="R203" s="22" t="str">
        <f>IF(LOWER(TRIM(RISK进展队列GEO回末测序数据整理!G202))="not ibd","Not IBD",TRIM(RISK进展队列GEO回末测序数据整理!G202))</f>
        <v>CD</v>
      </c>
      <c r="S203" s="22" t="str">
        <f>IF(LOWER(TRIM(RISK进展队列GEO回末测序数据整理!H202))="not ibd","Not IBD",TRIM(RISK进展队列GEO回末测序数据整理!H202))</f>
        <v>iCD</v>
      </c>
      <c r="T203" s="22" t="str">
        <f>IF(RISK进展队列GEO回末测序数据整理!D202="女","女性",IF(RISK进展队列GEO回末测序数据整理!D202="男","男性",TRIM(RISK进展队列GEO回末测序数据整理!D202)))</f>
        <v>女性</v>
      </c>
      <c r="U203" s="22">
        <f>RISK进展队列GEO回末测序数据整理!E202</f>
        <v>15</v>
      </c>
      <c r="V203" s="22" t="str">
        <f>RISK进展队列GEO回末测序数据整理!F202</f>
        <v>A1b</v>
      </c>
      <c r="W203" s="22" t="str">
        <f>IF(RISK进展队列GEO回末测序数据整理!I202="Macroscopic inflammation","Macro",IF(RISK进展队列GEO回末测序数据整理!I202="Microscopic inflammation","Micro",TRIM(RISK进展队列GEO回末测序数据整理!I202)))</f>
        <v>Macro</v>
      </c>
      <c r="X203" s="22" t="str">
        <f>IF(RISK进展队列GEO回末测序数据整理!J202=1,"Yes",IF(RISK进展队列GEO回末测序数据整理!J202=0,"No","N/A"))</f>
        <v>No</v>
      </c>
      <c r="Y203" s="22">
        <f>IF(Q203="","",IF(COUNTIF($Q$3:Q203,Q203)=1,1,0))</f>
        <v>1</v>
      </c>
      <c r="Z203" s="22">
        <f>IF(Q203="","",IF(COUNTIFS($Q$3:Q203,Q203,$R$3:R203,R203)=1,1,0))</f>
        <v>1</v>
      </c>
    </row>
    <row r="204" spans="16:26" x14ac:dyDescent="0.4">
      <c r="P204" s="22" t="str">
        <f>RISK进展队列GEO回末测序数据整理!A203</f>
        <v>GSM1598609</v>
      </c>
      <c r="Q204" s="22" t="str">
        <f>RISK进展队列GEO回末测序数据整理!B203</f>
        <v>CCFA_Risk_202</v>
      </c>
      <c r="R204" s="22" t="str">
        <f>IF(LOWER(TRIM(RISK进展队列GEO回末测序数据整理!G203))="not ibd","Not IBD",TRIM(RISK进展队列GEO回末测序数据整理!G203))</f>
        <v>CD</v>
      </c>
      <c r="S204" s="22" t="str">
        <f>IF(LOWER(TRIM(RISK进展队列GEO回末测序数据整理!H203))="not ibd","Not IBD",TRIM(RISK进展队列GEO回末测序数据整理!H203))</f>
        <v>iCD</v>
      </c>
      <c r="T204" s="22" t="str">
        <f>IF(RISK进展队列GEO回末测序数据整理!D203="女","女性",IF(RISK进展队列GEO回末测序数据整理!D203="男","男性",TRIM(RISK进展队列GEO回末测序数据整理!D203)))</f>
        <v>女性</v>
      </c>
      <c r="U204" s="22">
        <f>RISK进展队列GEO回末测序数据整理!E203</f>
        <v>14.75</v>
      </c>
      <c r="V204" s="22" t="str">
        <f>RISK进展队列GEO回末测序数据整理!F203</f>
        <v>A1b</v>
      </c>
      <c r="W204" s="22" t="str">
        <f>IF(RISK进展队列GEO回末测序数据整理!I203="Macroscopic inflammation","Macro",IF(RISK进展队列GEO回末测序数据整理!I203="Microscopic inflammation","Micro",TRIM(RISK进展队列GEO回末测序数据整理!I203)))</f>
        <v>Macro</v>
      </c>
      <c r="X204" s="22" t="str">
        <f>IF(RISK进展队列GEO回末测序数据整理!J203=1,"Yes",IF(RISK进展队列GEO回末测序数据整理!J203=0,"No","N/A"))</f>
        <v>Yes</v>
      </c>
      <c r="Y204" s="22">
        <f>IF(Q204="","",IF(COUNTIF($Q$3:Q204,Q204)=1,1,0))</f>
        <v>1</v>
      </c>
      <c r="Z204" s="22">
        <f>IF(Q204="","",IF(COUNTIFS($Q$3:Q204,Q204,$R$3:R204,R204)=1,1,0))</f>
        <v>1</v>
      </c>
    </row>
    <row r="205" spans="16:26" x14ac:dyDescent="0.4">
      <c r="P205" s="22" t="str">
        <f>RISK进展队列GEO回末测序数据整理!A204</f>
        <v>GSM1598610</v>
      </c>
      <c r="Q205" s="22" t="str">
        <f>RISK进展队列GEO回末测序数据整理!B204</f>
        <v>CCFA_Risk_203</v>
      </c>
      <c r="R205" s="22" t="str">
        <f>IF(LOWER(TRIM(RISK进展队列GEO回末测序数据整理!G204))="not ibd","Not IBD",TRIM(RISK进展队列GEO回末测序数据整理!G204))</f>
        <v>CD</v>
      </c>
      <c r="S205" s="22" t="str">
        <f>IF(LOWER(TRIM(RISK进展队列GEO回末测序数据整理!H204))="not ibd","Not IBD",TRIM(RISK进展队列GEO回末测序数据整理!H204))</f>
        <v>iCD</v>
      </c>
      <c r="T205" s="22" t="str">
        <f>IF(RISK进展队列GEO回末测序数据整理!D204="女","女性",IF(RISK进展队列GEO回末测序数据整理!D204="男","男性",TRIM(RISK进展队列GEO回末测序数据整理!D204)))</f>
        <v>男性</v>
      </c>
      <c r="U205" s="22">
        <f>RISK进展队列GEO回末测序数据整理!E204</f>
        <v>16.829999999999998</v>
      </c>
      <c r="V205" s="22" t="str">
        <f>RISK进展队列GEO回末测序数据整理!F204</f>
        <v>A1b</v>
      </c>
      <c r="W205" s="22" t="str">
        <f>IF(RISK进展队列GEO回末测序数据整理!I204="Macroscopic inflammation","Macro",IF(RISK进展队列GEO回末测序数据整理!I204="Microscopic inflammation","Micro",TRIM(RISK进展队列GEO回末测序数据整理!I204)))</f>
        <v>Macro</v>
      </c>
      <c r="X205" s="22" t="str">
        <f>IF(RISK进展队列GEO回末测序数据整理!J204=1,"Yes",IF(RISK进展队列GEO回末测序数据整理!J204=0,"No","N/A"))</f>
        <v>Yes</v>
      </c>
      <c r="Y205" s="22">
        <f>IF(Q205="","",IF(COUNTIF($Q$3:Q205,Q205)=1,1,0))</f>
        <v>1</v>
      </c>
      <c r="Z205" s="22">
        <f>IF(Q205="","",IF(COUNTIFS($Q$3:Q205,Q205,$R$3:R205,R205)=1,1,0))</f>
        <v>1</v>
      </c>
    </row>
    <row r="206" spans="16:26" x14ac:dyDescent="0.4">
      <c r="P206" s="22" t="str">
        <f>RISK进展队列GEO回末测序数据整理!A205</f>
        <v>GSM1598611</v>
      </c>
      <c r="Q206" s="22" t="str">
        <f>RISK进展队列GEO回末测序数据整理!B205</f>
        <v>CCFA_Risk_204</v>
      </c>
      <c r="R206" s="22" t="str">
        <f>IF(LOWER(TRIM(RISK进展队列GEO回末测序数据整理!G205))="not ibd","Not IBD",TRIM(RISK进展队列GEO回末测序数据整理!G205))</f>
        <v>CD</v>
      </c>
      <c r="S206" s="22" t="str">
        <f>IF(LOWER(TRIM(RISK进展队列GEO回末测序数据整理!H205))="not ibd","Not IBD",TRIM(RISK进展队列GEO回末测序数据整理!H205))</f>
        <v>iCD</v>
      </c>
      <c r="T206" s="22" t="str">
        <f>IF(RISK进展队列GEO回末测序数据整理!D205="女","女性",IF(RISK进展队列GEO回末测序数据整理!D205="男","男性",TRIM(RISK进展队列GEO回末测序数据整理!D205)))</f>
        <v>女性</v>
      </c>
      <c r="U206" s="22">
        <f>RISK进展队列GEO回末测序数据整理!E205</f>
        <v>16.920000000000002</v>
      </c>
      <c r="V206" s="22" t="str">
        <f>RISK进展队列GEO回末测序数据整理!F205</f>
        <v>A1b</v>
      </c>
      <c r="W206" s="22" t="str">
        <f>IF(RISK进展队列GEO回末测序数据整理!I205="Macroscopic inflammation","Macro",IF(RISK进展队列GEO回末测序数据整理!I205="Microscopic inflammation","Micro",TRIM(RISK进展队列GEO回末测序数据整理!I205)))</f>
        <v>Macro</v>
      </c>
      <c r="X206" s="22" t="str">
        <f>IF(RISK进展队列GEO回末测序数据整理!J205=1,"Yes",IF(RISK进展队列GEO回末测序数据整理!J205=0,"No","N/A"))</f>
        <v>No</v>
      </c>
      <c r="Y206" s="22">
        <f>IF(Q206="","",IF(COUNTIF($Q$3:Q206,Q206)=1,1,0))</f>
        <v>1</v>
      </c>
      <c r="Z206" s="22">
        <f>IF(Q206="","",IF(COUNTIFS($Q$3:Q206,Q206,$R$3:R206,R206)=1,1,0))</f>
        <v>1</v>
      </c>
    </row>
    <row r="207" spans="16:26" x14ac:dyDescent="0.4">
      <c r="P207" s="22" t="str">
        <f>RISK进展队列GEO回末测序数据整理!A206</f>
        <v>GSM1598612</v>
      </c>
      <c r="Q207" s="22" t="str">
        <f>RISK进展队列GEO回末测序数据整理!B206</f>
        <v>CCFA_Risk_205</v>
      </c>
      <c r="R207" s="22" t="str">
        <f>IF(LOWER(TRIM(RISK进展队列GEO回末测序数据整理!G206))="not ibd","Not IBD",TRIM(RISK进展队列GEO回末测序数据整理!G206))</f>
        <v>CD</v>
      </c>
      <c r="S207" s="22" t="str">
        <f>IF(LOWER(TRIM(RISK进展队列GEO回末测序数据整理!H206))="not ibd","Not IBD",TRIM(RISK进展队列GEO回末测序数据整理!H206))</f>
        <v>iCD</v>
      </c>
      <c r="T207" s="22" t="str">
        <f>IF(RISK进展队列GEO回末测序数据整理!D206="女","女性",IF(RISK进展队列GEO回末测序数据整理!D206="男","男性",TRIM(RISK进展队列GEO回末测序数据整理!D206)))</f>
        <v>女性</v>
      </c>
      <c r="U207" s="22">
        <f>RISK进展队列GEO回末测序数据整理!E206</f>
        <v>15.42</v>
      </c>
      <c r="V207" s="22" t="str">
        <f>RISK进展队列GEO回末测序数据整理!F206</f>
        <v>A1b</v>
      </c>
      <c r="W207" s="22" t="str">
        <f>IF(RISK进展队列GEO回末测序数据整理!I206="Macroscopic inflammation","Macro",IF(RISK进展队列GEO回末测序数据整理!I206="Microscopic inflammation","Micro",TRIM(RISK进展队列GEO回末测序数据整理!I206)))</f>
        <v>Macro</v>
      </c>
      <c r="X207" s="22" t="str">
        <f>IF(RISK进展队列GEO回末测序数据整理!J206=1,"Yes",IF(RISK进展队列GEO回末测序数据整理!J206=0,"No","N/A"))</f>
        <v>No</v>
      </c>
      <c r="Y207" s="22">
        <f>IF(Q207="","",IF(COUNTIF($Q$3:Q207,Q207)=1,1,0))</f>
        <v>1</v>
      </c>
      <c r="Z207" s="22">
        <f>IF(Q207="","",IF(COUNTIFS($Q$3:Q207,Q207,$R$3:R207,R207)=1,1,0))</f>
        <v>1</v>
      </c>
    </row>
    <row r="208" spans="16:26" x14ac:dyDescent="0.4">
      <c r="P208" s="22" t="str">
        <f>RISK进展队列GEO回末测序数据整理!A207</f>
        <v>GSM1598613</v>
      </c>
      <c r="Q208" s="22" t="str">
        <f>RISK进展队列GEO回末测序数据整理!B207</f>
        <v>CCFA_Risk_206</v>
      </c>
      <c r="R208" s="22" t="str">
        <f>IF(LOWER(TRIM(RISK进展队列GEO回末测序数据整理!G207))="not ibd","Not IBD",TRIM(RISK进展队列GEO回末测序数据整理!G207))</f>
        <v>CD</v>
      </c>
      <c r="S208" s="22" t="str">
        <f>IF(LOWER(TRIM(RISK进展队列GEO回末测序数据整理!H207))="not ibd","Not IBD",TRIM(RISK进展队列GEO回末测序数据整理!H207))</f>
        <v>cCD</v>
      </c>
      <c r="T208" s="22" t="str">
        <f>IF(RISK进展队列GEO回末测序数据整理!D207="女","女性",IF(RISK进展队列GEO回末测序数据整理!D207="男","男性",TRIM(RISK进展队列GEO回末测序数据整理!D207)))</f>
        <v>女性</v>
      </c>
      <c r="U208" s="22">
        <f>RISK进展队列GEO回末测序数据整理!E207</f>
        <v>15.33</v>
      </c>
      <c r="V208" s="22" t="str">
        <f>RISK进展队列GEO回末测序数据整理!F207</f>
        <v>A1b</v>
      </c>
      <c r="W208" s="22" t="str">
        <f>IF(RISK进展队列GEO回末测序数据整理!I207="Macroscopic inflammation","Macro",IF(RISK进展队列GEO回末测序数据整理!I207="Microscopic inflammation","Micro",TRIM(RISK进展队列GEO回末测序数据整理!I207)))</f>
        <v>Normal</v>
      </c>
      <c r="X208" s="22" t="str">
        <f>IF(RISK进展队列GEO回末测序数据整理!J207=1,"Yes",IF(RISK进展队列GEO回末测序数据整理!J207=0,"No","N/A"))</f>
        <v>No</v>
      </c>
      <c r="Y208" s="22">
        <f>IF(Q208="","",IF(COUNTIF($Q$3:Q208,Q208)=1,1,0))</f>
        <v>1</v>
      </c>
      <c r="Z208" s="22">
        <f>IF(Q208="","",IF(COUNTIFS($Q$3:Q208,Q208,$R$3:R208,R208)=1,1,0))</f>
        <v>1</v>
      </c>
    </row>
    <row r="209" spans="16:26" x14ac:dyDescent="0.4">
      <c r="P209" s="22" t="str">
        <f>RISK进展队列GEO回末测序数据整理!A208</f>
        <v>GSM1598614</v>
      </c>
      <c r="Q209" s="22" t="str">
        <f>RISK进展队列GEO回末测序数据整理!B208</f>
        <v>CCFA_Risk_207</v>
      </c>
      <c r="R209" s="22" t="str">
        <f>IF(LOWER(TRIM(RISK进展队列GEO回末测序数据整理!G208))="not ibd","Not IBD",TRIM(RISK进展队列GEO回末测序数据整理!G208))</f>
        <v>CD</v>
      </c>
      <c r="S209" s="22" t="str">
        <f>IF(LOWER(TRIM(RISK进展队列GEO回末测序数据整理!H208))="not ibd","Not IBD",TRIM(RISK进展队列GEO回末测序数据整理!H208))</f>
        <v>iCD</v>
      </c>
      <c r="T209" s="22" t="str">
        <f>IF(RISK进展队列GEO回末测序数据整理!D208="女","女性",IF(RISK进展队列GEO回末测序数据整理!D208="男","男性",TRIM(RISK进展队列GEO回末测序数据整理!D208)))</f>
        <v>男性</v>
      </c>
      <c r="U209" s="22">
        <f>RISK进展队列GEO回末测序数据整理!E208</f>
        <v>16.5</v>
      </c>
      <c r="V209" s="22" t="str">
        <f>RISK进展队列GEO回末测序数据整理!F208</f>
        <v>A1b</v>
      </c>
      <c r="W209" s="22" t="str">
        <f>IF(RISK进展队列GEO回末测序数据整理!I208="Macroscopic inflammation","Macro",IF(RISK进展队列GEO回末测序数据整理!I208="Microscopic inflammation","Micro",TRIM(RISK进展队列GEO回末测序数据整理!I208)))</f>
        <v>Macro</v>
      </c>
      <c r="X209" s="22" t="str">
        <f>IF(RISK进展队列GEO回末测序数据整理!J208=1,"Yes",IF(RISK进展队列GEO回末测序数据整理!J208=0,"No","N/A"))</f>
        <v>No</v>
      </c>
      <c r="Y209" s="22">
        <f>IF(Q209="","",IF(COUNTIF($Q$3:Q209,Q209)=1,1,0))</f>
        <v>1</v>
      </c>
      <c r="Z209" s="22">
        <f>IF(Q209="","",IF(COUNTIFS($Q$3:Q209,Q209,$R$3:R209,R209)=1,1,0))</f>
        <v>1</v>
      </c>
    </row>
    <row r="210" spans="16:26" x14ac:dyDescent="0.4">
      <c r="P210" s="22" t="str">
        <f>RISK进展队列GEO回末测序数据整理!A209</f>
        <v>GSM1598615</v>
      </c>
      <c r="Q210" s="22" t="str">
        <f>RISK进展队列GEO回末测序数据整理!B209</f>
        <v>CCFA_Risk_208</v>
      </c>
      <c r="R210" s="22" t="str">
        <f>IF(LOWER(TRIM(RISK进展队列GEO回末测序数据整理!G209))="not ibd","Not IBD",TRIM(RISK进展队列GEO回末测序数据整理!G209))</f>
        <v>CD</v>
      </c>
      <c r="S210" s="22" t="str">
        <f>IF(LOWER(TRIM(RISK进展队列GEO回末测序数据整理!H209))="not ibd","Not IBD",TRIM(RISK进展队列GEO回末测序数据整理!H209))</f>
        <v>iCD</v>
      </c>
      <c r="T210" s="22" t="str">
        <f>IF(RISK进展队列GEO回末测序数据整理!D209="女","女性",IF(RISK进展队列GEO回末测序数据整理!D209="男","男性",TRIM(RISK进展队列GEO回末测序数据整理!D209)))</f>
        <v>男性</v>
      </c>
      <c r="U210" s="22">
        <f>RISK进展队列GEO回末测序数据整理!E209</f>
        <v>12.75</v>
      </c>
      <c r="V210" s="22" t="str">
        <f>RISK进展队列GEO回末测序数据整理!F209</f>
        <v>A1b</v>
      </c>
      <c r="W210" s="22" t="str">
        <f>IF(RISK进展队列GEO回末测序数据整理!I209="Macroscopic inflammation","Macro",IF(RISK进展队列GEO回末测序数据整理!I209="Microscopic inflammation","Micro",TRIM(RISK进展队列GEO回末测序数据整理!I209)))</f>
        <v>Macro</v>
      </c>
      <c r="X210" s="22" t="str">
        <f>IF(RISK进展队列GEO回末测序数据整理!J209=1,"Yes",IF(RISK进展队列GEO回末测序数据整理!J209=0,"No","N/A"))</f>
        <v>No</v>
      </c>
      <c r="Y210" s="22">
        <f>IF(Q210="","",IF(COUNTIF($Q$3:Q210,Q210)=1,1,0))</f>
        <v>1</v>
      </c>
      <c r="Z210" s="22">
        <f>IF(Q210="","",IF(COUNTIFS($Q$3:Q210,Q210,$R$3:R210,R210)=1,1,0))</f>
        <v>1</v>
      </c>
    </row>
    <row r="211" spans="16:26" x14ac:dyDescent="0.4">
      <c r="P211" s="22" t="str">
        <f>RISK进展队列GEO回末测序数据整理!A210</f>
        <v>GSM1598616</v>
      </c>
      <c r="Q211" s="22" t="str">
        <f>RISK进展队列GEO回末测序数据整理!B210</f>
        <v>CCFA_Risk_209</v>
      </c>
      <c r="R211" s="22" t="str">
        <f>IF(LOWER(TRIM(RISK进展队列GEO回末测序数据整理!G210))="not ibd","Not IBD",TRIM(RISK进展队列GEO回末测序数据整理!G210))</f>
        <v>CD</v>
      </c>
      <c r="S211" s="22" t="str">
        <f>IF(LOWER(TRIM(RISK进展队列GEO回末测序数据整理!H210))="not ibd","Not IBD",TRIM(RISK进展队列GEO回末测序数据整理!H210))</f>
        <v>iCD</v>
      </c>
      <c r="T211" s="22" t="str">
        <f>IF(RISK进展队列GEO回末测序数据整理!D210="女","女性",IF(RISK进展队列GEO回末测序数据整理!D210="男","男性",TRIM(RISK进展队列GEO回末测序数据整理!D210)))</f>
        <v>男性</v>
      </c>
      <c r="U211" s="22">
        <f>RISK进展队列GEO回末测序数据整理!E210</f>
        <v>11.17</v>
      </c>
      <c r="V211" s="22" t="str">
        <f>RISK进展队列GEO回末测序数据整理!F210</f>
        <v>A1b</v>
      </c>
      <c r="W211" s="22" t="str">
        <f>IF(RISK进展队列GEO回末测序数据整理!I210="Macroscopic inflammation","Macro",IF(RISK进展队列GEO回末测序数据整理!I210="Microscopic inflammation","Micro",TRIM(RISK进展队列GEO回末测序数据整理!I210)))</f>
        <v>Macro</v>
      </c>
      <c r="X211" s="22" t="str">
        <f>IF(RISK进展队列GEO回末测序数据整理!J210=1,"Yes",IF(RISK进展队列GEO回末测序数据整理!J210=0,"No","N/A"))</f>
        <v>No</v>
      </c>
      <c r="Y211" s="22">
        <f>IF(Q211="","",IF(COUNTIF($Q$3:Q211,Q211)=1,1,0))</f>
        <v>1</v>
      </c>
      <c r="Z211" s="22">
        <f>IF(Q211="","",IF(COUNTIFS($Q$3:Q211,Q211,$R$3:R211,R211)=1,1,0))</f>
        <v>1</v>
      </c>
    </row>
    <row r="212" spans="16:26" x14ac:dyDescent="0.4">
      <c r="P212" s="22" t="str">
        <f>RISK进展队列GEO回末测序数据整理!A211</f>
        <v>GSM1598617</v>
      </c>
      <c r="Q212" s="22" t="str">
        <f>RISK进展队列GEO回末测序数据整理!B211</f>
        <v>CCFA_Risk_210</v>
      </c>
      <c r="R212" s="22" t="str">
        <f>IF(LOWER(TRIM(RISK进展队列GEO回末测序数据整理!G211))="not ibd","Not IBD",TRIM(RISK进展队列GEO回末测序数据整理!G211))</f>
        <v>CD</v>
      </c>
      <c r="S212" s="22" t="str">
        <f>IF(LOWER(TRIM(RISK进展队列GEO回末测序数据整理!H211))="not ibd","Not IBD",TRIM(RISK进展队列GEO回末测序数据整理!H211))</f>
        <v>iCD</v>
      </c>
      <c r="T212" s="22" t="str">
        <f>IF(RISK进展队列GEO回末测序数据整理!D211="女","女性",IF(RISK进展队列GEO回末测序数据整理!D211="男","男性",TRIM(RISK进展队列GEO回末测序数据整理!D211)))</f>
        <v>男性</v>
      </c>
      <c r="U212" s="22">
        <f>RISK进展队列GEO回末测序数据整理!E211</f>
        <v>15.33</v>
      </c>
      <c r="V212" s="22" t="str">
        <f>RISK进展队列GEO回末测序数据整理!F211</f>
        <v>A1b</v>
      </c>
      <c r="W212" s="22" t="str">
        <f>IF(RISK进展队列GEO回末测序数据整理!I211="Macroscopic inflammation","Macro",IF(RISK进展队列GEO回末测序数据整理!I211="Microscopic inflammation","Micro",TRIM(RISK进展队列GEO回末测序数据整理!I211)))</f>
        <v>Macro</v>
      </c>
      <c r="X212" s="22" t="str">
        <f>IF(RISK进展队列GEO回末测序数据整理!J211=1,"Yes",IF(RISK进展队列GEO回末测序数据整理!J211=0,"No","N/A"))</f>
        <v>No</v>
      </c>
      <c r="Y212" s="22">
        <f>IF(Q212="","",IF(COUNTIF($Q$3:Q212,Q212)=1,1,0))</f>
        <v>1</v>
      </c>
      <c r="Z212" s="22">
        <f>IF(Q212="","",IF(COUNTIFS($Q$3:Q212,Q212,$R$3:R212,R212)=1,1,0))</f>
        <v>1</v>
      </c>
    </row>
    <row r="213" spans="16:26" x14ac:dyDescent="0.4">
      <c r="P213" s="22" t="str">
        <f>RISK进展队列GEO回末测序数据整理!A212</f>
        <v>GSM1598618</v>
      </c>
      <c r="Q213" s="22" t="str">
        <f>RISK进展队列GEO回末测序数据整理!B212</f>
        <v>CCFA_Risk_211</v>
      </c>
      <c r="R213" s="22" t="str">
        <f>IF(LOWER(TRIM(RISK进展队列GEO回末测序数据整理!G212))="not ibd","Not IBD",TRIM(RISK进展队列GEO回末测序数据整理!G212))</f>
        <v>CD</v>
      </c>
      <c r="S213" s="22" t="str">
        <f>IF(LOWER(TRIM(RISK进展队列GEO回末测序数据整理!H212))="not ibd","Not IBD",TRIM(RISK进展队列GEO回末测序数据整理!H212))</f>
        <v>iCD</v>
      </c>
      <c r="T213" s="22" t="str">
        <f>IF(RISK进展队列GEO回末测序数据整理!D212="女","女性",IF(RISK进展队列GEO回末测序数据整理!D212="男","男性",TRIM(RISK进展队列GEO回末测序数据整理!D212)))</f>
        <v>男性</v>
      </c>
      <c r="U213" s="22">
        <f>RISK进展队列GEO回末测序数据整理!E212</f>
        <v>15</v>
      </c>
      <c r="V213" s="22" t="str">
        <f>RISK进展队列GEO回末测序数据整理!F212</f>
        <v>A1b</v>
      </c>
      <c r="W213" s="22" t="str">
        <f>IF(RISK进展队列GEO回末测序数据整理!I212="Macroscopic inflammation","Macro",IF(RISK进展队列GEO回末测序数据整理!I212="Microscopic inflammation","Micro",TRIM(RISK进展队列GEO回末测序数据整理!I212)))</f>
        <v>Macro</v>
      </c>
      <c r="X213" s="22" t="str">
        <f>IF(RISK进展队列GEO回末测序数据整理!J212=1,"Yes",IF(RISK进展队列GEO回末测序数据整理!J212=0,"No","N/A"))</f>
        <v>No</v>
      </c>
      <c r="Y213" s="22">
        <f>IF(Q213="","",IF(COUNTIF($Q$3:Q213,Q213)=1,1,0))</f>
        <v>1</v>
      </c>
      <c r="Z213" s="22">
        <f>IF(Q213="","",IF(COUNTIFS($Q$3:Q213,Q213,$R$3:R213,R213)=1,1,0))</f>
        <v>1</v>
      </c>
    </row>
    <row r="214" spans="16:26" x14ac:dyDescent="0.4">
      <c r="P214" s="22" t="str">
        <f>RISK进展队列GEO回末测序数据整理!A213</f>
        <v>GSM1598619</v>
      </c>
      <c r="Q214" s="22" t="str">
        <f>RISK进展队列GEO回末测序数据整理!B213</f>
        <v>CCFA_Risk_212</v>
      </c>
      <c r="R214" s="22" t="str">
        <f>IF(LOWER(TRIM(RISK进展队列GEO回末测序数据整理!G213))="not ibd","Not IBD",TRIM(RISK进展队列GEO回末测序数据整理!G213))</f>
        <v>CD</v>
      </c>
      <c r="S214" s="22" t="str">
        <f>IF(LOWER(TRIM(RISK进展队列GEO回末测序数据整理!H213))="not ibd","Not IBD",TRIM(RISK进展队列GEO回末测序数据整理!H213))</f>
        <v>iCD</v>
      </c>
      <c r="T214" s="22" t="str">
        <f>IF(RISK进展队列GEO回末测序数据整理!D213="女","女性",IF(RISK进展队列GEO回末测序数据整理!D213="男","男性",TRIM(RISK进展队列GEO回末测序数据整理!D213)))</f>
        <v>女性</v>
      </c>
      <c r="U214" s="22">
        <f>RISK进展队列GEO回末测序数据整理!E213</f>
        <v>12</v>
      </c>
      <c r="V214" s="22" t="str">
        <f>RISK进展队列GEO回末测序数据整理!F213</f>
        <v>A1b</v>
      </c>
      <c r="W214" s="22" t="str">
        <f>IF(RISK进展队列GEO回末测序数据整理!I213="Macroscopic inflammation","Macro",IF(RISK进展队列GEO回末测序数据整理!I213="Microscopic inflammation","Micro",TRIM(RISK进展队列GEO回末测序数据整理!I213)))</f>
        <v>Macro</v>
      </c>
      <c r="X214" s="22" t="str">
        <f>IF(RISK进展队列GEO回末测序数据整理!J213=1,"Yes",IF(RISK进展队列GEO回末测序数据整理!J213=0,"No","N/A"))</f>
        <v>Yes</v>
      </c>
      <c r="Y214" s="22">
        <f>IF(Q214="","",IF(COUNTIF($Q$3:Q214,Q214)=1,1,0))</f>
        <v>1</v>
      </c>
      <c r="Z214" s="22">
        <f>IF(Q214="","",IF(COUNTIFS($Q$3:Q214,Q214,$R$3:R214,R214)=1,1,0))</f>
        <v>1</v>
      </c>
    </row>
    <row r="215" spans="16:26" x14ac:dyDescent="0.4">
      <c r="P215" s="22" t="str">
        <f>RISK进展队列GEO回末测序数据整理!A214</f>
        <v>GSM1598620</v>
      </c>
      <c r="Q215" s="22" t="str">
        <f>RISK进展队列GEO回末测序数据整理!B214</f>
        <v>CCFA_Risk_213</v>
      </c>
      <c r="R215" s="22" t="str">
        <f>IF(LOWER(TRIM(RISK进展队列GEO回末测序数据整理!G214))="not ibd","Not IBD",TRIM(RISK进展队列GEO回末测序数据整理!G214))</f>
        <v>CD</v>
      </c>
      <c r="S215" s="22" t="str">
        <f>IF(LOWER(TRIM(RISK进展队列GEO回末测序数据整理!H214))="not ibd","Not IBD",TRIM(RISK进展队列GEO回末测序数据整理!H214))</f>
        <v>iCD</v>
      </c>
      <c r="T215" s="22" t="str">
        <f>IF(RISK进展队列GEO回末测序数据整理!D214="女","女性",IF(RISK进展队列GEO回末测序数据整理!D214="男","男性",TRIM(RISK进展队列GEO回末测序数据整理!D214)))</f>
        <v>女性</v>
      </c>
      <c r="U215" s="22">
        <f>RISK进展队列GEO回末测序数据整理!E214</f>
        <v>16.25</v>
      </c>
      <c r="V215" s="22" t="str">
        <f>RISK进展队列GEO回末测序数据整理!F214</f>
        <v>A1b</v>
      </c>
      <c r="W215" s="22" t="str">
        <f>IF(RISK进展队列GEO回末测序数据整理!I214="Macroscopic inflammation","Macro",IF(RISK进展队列GEO回末测序数据整理!I214="Microscopic inflammation","Micro",TRIM(RISK进展队列GEO回末测序数据整理!I214)))</f>
        <v>Macro</v>
      </c>
      <c r="X215" s="22" t="str">
        <f>IF(RISK进展队列GEO回末测序数据整理!J214=1,"Yes",IF(RISK进展队列GEO回末测序数据整理!J214=0,"No","N/A"))</f>
        <v>Yes</v>
      </c>
      <c r="Y215" s="22">
        <f>IF(Q215="","",IF(COUNTIF($Q$3:Q215,Q215)=1,1,0))</f>
        <v>1</v>
      </c>
      <c r="Z215" s="22">
        <f>IF(Q215="","",IF(COUNTIFS($Q$3:Q215,Q215,$R$3:R215,R215)=1,1,0))</f>
        <v>1</v>
      </c>
    </row>
    <row r="216" spans="16:26" x14ac:dyDescent="0.4">
      <c r="P216" s="22" t="str">
        <f>RISK进展队列GEO回末测序数据整理!A215</f>
        <v>GSM1598621</v>
      </c>
      <c r="Q216" s="22" t="str">
        <f>RISK进展队列GEO回末测序数据整理!B215</f>
        <v>CCFA_Risk_214</v>
      </c>
      <c r="R216" s="22" t="str">
        <f>IF(LOWER(TRIM(RISK进展队列GEO回末测序数据整理!G215))="not ibd","Not IBD",TRIM(RISK进展队列GEO回末测序数据整理!G215))</f>
        <v>CD</v>
      </c>
      <c r="S216" s="22" t="str">
        <f>IF(LOWER(TRIM(RISK进展队列GEO回末测序数据整理!H215))="not ibd","Not IBD",TRIM(RISK进展队列GEO回末测序数据整理!H215))</f>
        <v>iCD</v>
      </c>
      <c r="T216" s="22" t="str">
        <f>IF(RISK进展队列GEO回末测序数据整理!D215="女","女性",IF(RISK进展队列GEO回末测序数据整理!D215="男","男性",TRIM(RISK进展队列GEO回末测序数据整理!D215)))</f>
        <v>女性</v>
      </c>
      <c r="U216" s="22">
        <f>RISK进展队列GEO回末测序数据整理!E215</f>
        <v>15.58</v>
      </c>
      <c r="V216" s="22" t="str">
        <f>RISK进展队列GEO回末测序数据整理!F215</f>
        <v>A1b</v>
      </c>
      <c r="W216" s="22" t="str">
        <f>IF(RISK进展队列GEO回末测序数据整理!I215="Macroscopic inflammation","Macro",IF(RISK进展队列GEO回末测序数据整理!I215="Microscopic inflammation","Micro",TRIM(RISK进展队列GEO回末测序数据整理!I215)))</f>
        <v>Macro</v>
      </c>
      <c r="X216" s="22" t="str">
        <f>IF(RISK进展队列GEO回末测序数据整理!J215=1,"Yes",IF(RISK进展队列GEO回末测序数据整理!J215=0,"No","N/A"))</f>
        <v>No</v>
      </c>
      <c r="Y216" s="22">
        <f>IF(Q216="","",IF(COUNTIF($Q$3:Q216,Q216)=1,1,0))</f>
        <v>1</v>
      </c>
      <c r="Z216" s="22">
        <f>IF(Q216="","",IF(COUNTIFS($Q$3:Q216,Q216,$R$3:R216,R216)=1,1,0))</f>
        <v>1</v>
      </c>
    </row>
    <row r="217" spans="16:26" x14ac:dyDescent="0.4">
      <c r="P217" s="22" t="str">
        <f>RISK进展队列GEO回末测序数据整理!A216</f>
        <v>GSM1598622</v>
      </c>
      <c r="Q217" s="22" t="str">
        <f>RISK进展队列GEO回末测序数据整理!B216</f>
        <v>CCFA_Risk_215</v>
      </c>
      <c r="R217" s="22" t="str">
        <f>IF(LOWER(TRIM(RISK进展队列GEO回末测序数据整理!G216))="not ibd","Not IBD",TRIM(RISK进展队列GEO回末测序数据整理!G216))</f>
        <v>CD</v>
      </c>
      <c r="S217" s="22" t="str">
        <f>IF(LOWER(TRIM(RISK进展队列GEO回末测序数据整理!H216))="not ibd","Not IBD",TRIM(RISK进展队列GEO回末测序数据整理!H216))</f>
        <v>cCD</v>
      </c>
      <c r="T217" s="22" t="str">
        <f>IF(RISK进展队列GEO回末测序数据整理!D216="女","女性",IF(RISK进展队列GEO回末测序数据整理!D216="男","男性",TRIM(RISK进展队列GEO回末测序数据整理!D216)))</f>
        <v>男性</v>
      </c>
      <c r="U217" s="22">
        <f>RISK进展队列GEO回末测序数据整理!E216</f>
        <v>13.83</v>
      </c>
      <c r="V217" s="22" t="str">
        <f>RISK进展队列GEO回末测序数据整理!F216</f>
        <v>A1b</v>
      </c>
      <c r="W217" s="22" t="str">
        <f>IF(RISK进展队列GEO回末测序数据整理!I216="Macroscopic inflammation","Macro",IF(RISK进展队列GEO回末测序数据整理!I216="Microscopic inflammation","Micro",TRIM(RISK进展队列GEO回末测序数据整理!I216)))</f>
        <v>Normal</v>
      </c>
      <c r="X217" s="22" t="str">
        <f>IF(RISK进展队列GEO回末测序数据整理!J216=1,"Yes",IF(RISK进展队列GEO回末测序数据整理!J216=0,"No","N/A"))</f>
        <v>No</v>
      </c>
      <c r="Y217" s="22">
        <f>IF(Q217="","",IF(COUNTIF($Q$3:Q217,Q217)=1,1,0))</f>
        <v>1</v>
      </c>
      <c r="Z217" s="22">
        <f>IF(Q217="","",IF(COUNTIFS($Q$3:Q217,Q217,$R$3:R217,R217)=1,1,0))</f>
        <v>1</v>
      </c>
    </row>
    <row r="218" spans="16:26" x14ac:dyDescent="0.4">
      <c r="P218" s="22" t="str">
        <f>RISK进展队列GEO回末测序数据整理!A217</f>
        <v>GSM1598623</v>
      </c>
      <c r="Q218" s="22" t="str">
        <f>RISK进展队列GEO回末测序数据整理!B217</f>
        <v>CCFA_Risk_216</v>
      </c>
      <c r="R218" s="22" t="str">
        <f>IF(LOWER(TRIM(RISK进展队列GEO回末测序数据整理!G217))="not ibd","Not IBD",TRIM(RISK进展队列GEO回末测序数据整理!G217))</f>
        <v>CD</v>
      </c>
      <c r="S218" s="22" t="str">
        <f>IF(LOWER(TRIM(RISK进展队列GEO回末测序数据整理!H217))="not ibd","Not IBD",TRIM(RISK进展队列GEO回末测序数据整理!H217))</f>
        <v>iCD</v>
      </c>
      <c r="T218" s="22" t="str">
        <f>IF(RISK进展队列GEO回末测序数据整理!D217="女","女性",IF(RISK进展队列GEO回末测序数据整理!D217="男","男性",TRIM(RISK进展队列GEO回末测序数据整理!D217)))</f>
        <v>男性</v>
      </c>
      <c r="U218" s="22">
        <f>RISK进展队列GEO回末测序数据整理!E217</f>
        <v>12.42</v>
      </c>
      <c r="V218" s="22" t="str">
        <f>RISK进展队列GEO回末测序数据整理!F217</f>
        <v>A1b</v>
      </c>
      <c r="W218" s="22" t="str">
        <f>IF(RISK进展队列GEO回末测序数据整理!I217="Macroscopic inflammation","Macro",IF(RISK进展队列GEO回末测序数据整理!I217="Microscopic inflammation","Micro",TRIM(RISK进展队列GEO回末测序数据整理!I217)))</f>
        <v>Macro</v>
      </c>
      <c r="X218" s="22" t="str">
        <f>IF(RISK进展队列GEO回末测序数据整理!J217=1,"Yes",IF(RISK进展队列GEO回末测序数据整理!J217=0,"No","N/A"))</f>
        <v>Yes</v>
      </c>
      <c r="Y218" s="22">
        <f>IF(Q218="","",IF(COUNTIF($Q$3:Q218,Q218)=1,1,0))</f>
        <v>1</v>
      </c>
      <c r="Z218" s="22">
        <f>IF(Q218="","",IF(COUNTIFS($Q$3:Q218,Q218,$R$3:R218,R218)=1,1,0))</f>
        <v>1</v>
      </c>
    </row>
    <row r="219" spans="16:26" x14ac:dyDescent="0.4">
      <c r="P219" s="22" t="str">
        <f>RISK进展队列GEO回末测序数据整理!A218</f>
        <v>GSM1598624</v>
      </c>
      <c r="Q219" s="22" t="str">
        <f>RISK进展队列GEO回末测序数据整理!B218</f>
        <v>CCFA_Risk_217</v>
      </c>
      <c r="R219" s="22" t="str">
        <f>IF(LOWER(TRIM(RISK进展队列GEO回末测序数据整理!G218))="not ibd","Not IBD",TRIM(RISK进展队列GEO回末测序数据整理!G218))</f>
        <v>CD</v>
      </c>
      <c r="S219" s="22" t="str">
        <f>IF(LOWER(TRIM(RISK进展队列GEO回末测序数据整理!H218))="not ibd","Not IBD",TRIM(RISK进展队列GEO回末测序数据整理!H218))</f>
        <v>iCD</v>
      </c>
      <c r="T219" s="22" t="str">
        <f>IF(RISK进展队列GEO回末测序数据整理!D218="女","女性",IF(RISK进展队列GEO回末测序数据整理!D218="男","男性",TRIM(RISK进展队列GEO回末测序数据整理!D218)))</f>
        <v>男性</v>
      </c>
      <c r="U219" s="22">
        <f>RISK进展队列GEO回末测序数据整理!E218</f>
        <v>11.92</v>
      </c>
      <c r="V219" s="22" t="str">
        <f>RISK进展队列GEO回末测序数据整理!F218</f>
        <v>A1b</v>
      </c>
      <c r="W219" s="22" t="str">
        <f>IF(RISK进展队列GEO回末测序数据整理!I218="Macroscopic inflammation","Macro",IF(RISK进展队列GEO回末测序数据整理!I218="Microscopic inflammation","Micro",TRIM(RISK进展队列GEO回末测序数据整理!I218)))</f>
        <v>Macro</v>
      </c>
      <c r="X219" s="22" t="str">
        <f>IF(RISK进展队列GEO回末测序数据整理!J218=1,"Yes",IF(RISK进展队列GEO回末测序数据整理!J218=0,"No","N/A"))</f>
        <v>Yes</v>
      </c>
      <c r="Y219" s="22">
        <f>IF(Q219="","",IF(COUNTIF($Q$3:Q219,Q219)=1,1,0))</f>
        <v>1</v>
      </c>
      <c r="Z219" s="22">
        <f>IF(Q219="","",IF(COUNTIFS($Q$3:Q219,Q219,$R$3:R219,R219)=1,1,0))</f>
        <v>1</v>
      </c>
    </row>
    <row r="220" spans="16:26" x14ac:dyDescent="0.4">
      <c r="P220" s="22" t="str">
        <f>RISK进展队列GEO回末测序数据整理!A219</f>
        <v>GSM1598625</v>
      </c>
      <c r="Q220" s="22" t="str">
        <f>RISK进展队列GEO回末测序数据整理!B219</f>
        <v>CCFA_Risk_218</v>
      </c>
      <c r="R220" s="22" t="str">
        <f>IF(LOWER(TRIM(RISK进展队列GEO回末测序数据整理!G219))="not ibd","Not IBD",TRIM(RISK进展队列GEO回末测序数据整理!G219))</f>
        <v>CD</v>
      </c>
      <c r="S220" s="22" t="str">
        <f>IF(LOWER(TRIM(RISK进展队列GEO回末测序数据整理!H219))="not ibd","Not IBD",TRIM(RISK进展队列GEO回末测序数据整理!H219))</f>
        <v>iCD</v>
      </c>
      <c r="T220" s="22" t="str">
        <f>IF(RISK进展队列GEO回末测序数据整理!D219="女","女性",IF(RISK进展队列GEO回末测序数据整理!D219="男","男性",TRIM(RISK进展队列GEO回末测序数据整理!D219)))</f>
        <v>女性</v>
      </c>
      <c r="U220" s="22">
        <f>RISK进展队列GEO回末测序数据整理!E219</f>
        <v>15.83</v>
      </c>
      <c r="V220" s="22" t="str">
        <f>RISK进展队列GEO回末测序数据整理!F219</f>
        <v>A1b</v>
      </c>
      <c r="W220" s="22" t="str">
        <f>IF(RISK进展队列GEO回末测序数据整理!I219="Macroscopic inflammation","Macro",IF(RISK进展队列GEO回末测序数据整理!I219="Microscopic inflammation","Micro",TRIM(RISK进展队列GEO回末测序数据整理!I219)))</f>
        <v>Macro</v>
      </c>
      <c r="X220" s="22" t="str">
        <f>IF(RISK进展队列GEO回末测序数据整理!J219=1,"Yes",IF(RISK进展队列GEO回末测序数据整理!J219=0,"No","N/A"))</f>
        <v>Yes</v>
      </c>
      <c r="Y220" s="22">
        <f>IF(Q220="","",IF(COUNTIF($Q$3:Q220,Q220)=1,1,0))</f>
        <v>1</v>
      </c>
      <c r="Z220" s="22">
        <f>IF(Q220="","",IF(COUNTIFS($Q$3:Q220,Q220,$R$3:R220,R220)=1,1,0))</f>
        <v>1</v>
      </c>
    </row>
    <row r="221" spans="16:26" x14ac:dyDescent="0.4">
      <c r="P221" s="22" t="str">
        <f>RISK进展队列GEO回末测序数据整理!A220</f>
        <v>GSM1598626</v>
      </c>
      <c r="Q221" s="22" t="str">
        <f>RISK进展队列GEO回末测序数据整理!B220</f>
        <v>CCFA_Risk_219</v>
      </c>
      <c r="R221" s="22" t="str">
        <f>IF(LOWER(TRIM(RISK进展队列GEO回末测序数据整理!G220))="not ibd","Not IBD",TRIM(RISK进展队列GEO回末测序数据整理!G220))</f>
        <v>CD</v>
      </c>
      <c r="S221" s="22" t="str">
        <f>IF(LOWER(TRIM(RISK进展队列GEO回末测序数据整理!H220))="not ibd","Not IBD",TRIM(RISK进展队列GEO回末测序数据整理!H220))</f>
        <v>iCD</v>
      </c>
      <c r="T221" s="22" t="str">
        <f>IF(RISK进展队列GEO回末测序数据整理!D220="女","女性",IF(RISK进展队列GEO回末测序数据整理!D220="男","男性",TRIM(RISK进展队列GEO回末测序数据整理!D220)))</f>
        <v>男性</v>
      </c>
      <c r="U221" s="22">
        <f>RISK进展队列GEO回末测序数据整理!E220</f>
        <v>13.58</v>
      </c>
      <c r="V221" s="22" t="str">
        <f>RISK进展队列GEO回末测序数据整理!F220</f>
        <v>A1b</v>
      </c>
      <c r="W221" s="22" t="str">
        <f>IF(RISK进展队列GEO回末测序数据整理!I220="Macroscopic inflammation","Macro",IF(RISK进展队列GEO回末测序数据整理!I220="Microscopic inflammation","Micro",TRIM(RISK进展队列GEO回末测序数据整理!I220)))</f>
        <v>Macro</v>
      </c>
      <c r="X221" s="22" t="str">
        <f>IF(RISK进展队列GEO回末测序数据整理!J220=1,"Yes",IF(RISK进展队列GEO回末测序数据整理!J220=0,"No","N/A"))</f>
        <v>Yes</v>
      </c>
      <c r="Y221" s="22">
        <f>IF(Q221="","",IF(COUNTIF($Q$3:Q221,Q221)=1,1,0))</f>
        <v>1</v>
      </c>
      <c r="Z221" s="22">
        <f>IF(Q221="","",IF(COUNTIFS($Q$3:Q221,Q221,$R$3:R221,R221)=1,1,0))</f>
        <v>1</v>
      </c>
    </row>
    <row r="222" spans="16:26" x14ac:dyDescent="0.4">
      <c r="P222" s="22" t="str">
        <f>RISK进展队列GEO回末测序数据整理!A221</f>
        <v>GSM1598627</v>
      </c>
      <c r="Q222" s="22" t="str">
        <f>RISK进展队列GEO回末测序数据整理!B221</f>
        <v>CCFA_Risk_220</v>
      </c>
      <c r="R222" s="22" t="str">
        <f>IF(LOWER(TRIM(RISK进展队列GEO回末测序数据整理!G221))="not ibd","Not IBD",TRIM(RISK进展队列GEO回末测序数据整理!G221))</f>
        <v>CD</v>
      </c>
      <c r="S222" s="22" t="str">
        <f>IF(LOWER(TRIM(RISK进展队列GEO回末测序数据整理!H221))="not ibd","Not IBD",TRIM(RISK进展队列GEO回末测序数据整理!H221))</f>
        <v>cCD</v>
      </c>
      <c r="T222" s="22" t="str">
        <f>IF(RISK进展队列GEO回末测序数据整理!D221="女","女性",IF(RISK进展队列GEO回末测序数据整理!D221="男","男性",TRIM(RISK进展队列GEO回末测序数据整理!D221)))</f>
        <v>男性</v>
      </c>
      <c r="U222" s="22">
        <f>RISK进展队列GEO回末测序数据整理!E221</f>
        <v>12.67</v>
      </c>
      <c r="V222" s="22" t="str">
        <f>RISK进展队列GEO回末测序数据整理!F221</f>
        <v>A1b</v>
      </c>
      <c r="W222" s="22" t="str">
        <f>IF(RISK进展队列GEO回末测序数据整理!I221="Macroscopic inflammation","Macro",IF(RISK进展队列GEO回末测序数据整理!I221="Microscopic inflammation","Micro",TRIM(RISK进展队列GEO回末测序数据整理!I221)))</f>
        <v>Normal</v>
      </c>
      <c r="X222" s="22" t="str">
        <f>IF(RISK进展队列GEO回末测序数据整理!J221=1,"Yes",IF(RISK进展队列GEO回末测序数据整理!J221=0,"No","N/A"))</f>
        <v>No</v>
      </c>
      <c r="Y222" s="22">
        <f>IF(Q222="","",IF(COUNTIF($Q$3:Q222,Q222)=1,1,0))</f>
        <v>1</v>
      </c>
      <c r="Z222" s="22">
        <f>IF(Q222="","",IF(COUNTIFS($Q$3:Q222,Q222,$R$3:R222,R222)=1,1,0))</f>
        <v>1</v>
      </c>
    </row>
    <row r="223" spans="16:26" x14ac:dyDescent="0.4">
      <c r="P223" s="22" t="str">
        <f>RISK进展队列GEO回末测序数据整理!A222</f>
        <v>GSM1598628</v>
      </c>
      <c r="Q223" s="22" t="str">
        <f>RISK进展队列GEO回末测序数据整理!B222</f>
        <v>CCFA_Risk_221</v>
      </c>
      <c r="R223" s="22" t="str">
        <f>IF(LOWER(TRIM(RISK进展队列GEO回末测序数据整理!G222))="not ibd","Not IBD",TRIM(RISK进展队列GEO回末测序数据整理!G222))</f>
        <v>CD</v>
      </c>
      <c r="S223" s="22" t="str">
        <f>IF(LOWER(TRIM(RISK进展队列GEO回末测序数据整理!H222))="not ibd","Not IBD",TRIM(RISK进展队列GEO回末测序数据整理!H222))</f>
        <v>iCD</v>
      </c>
      <c r="T223" s="22" t="str">
        <f>IF(RISK进展队列GEO回末测序数据整理!D222="女","女性",IF(RISK进展队列GEO回末测序数据整理!D222="男","男性",TRIM(RISK进展队列GEO回末测序数据整理!D222)))</f>
        <v>女性</v>
      </c>
      <c r="U223" s="22">
        <f>RISK进展队列GEO回末测序数据整理!E222</f>
        <v>10.75</v>
      </c>
      <c r="V223" s="22" t="str">
        <f>RISK进展队列GEO回末测序数据整理!F222</f>
        <v>A1b</v>
      </c>
      <c r="W223" s="22" t="str">
        <f>IF(RISK进展队列GEO回末测序数据整理!I222="Macroscopic inflammation","Macro",IF(RISK进展队列GEO回末测序数据整理!I222="Microscopic inflammation","Micro",TRIM(RISK进展队列GEO回末测序数据整理!I222)))</f>
        <v>Macro</v>
      </c>
      <c r="X223" s="22" t="str">
        <f>IF(RISK进展队列GEO回末测序数据整理!J222=1,"Yes",IF(RISK进展队列GEO回末测序数据整理!J222=0,"No","N/A"))</f>
        <v>No</v>
      </c>
      <c r="Y223" s="22">
        <f>IF(Q223="","",IF(COUNTIF($Q$3:Q223,Q223)=1,1,0))</f>
        <v>1</v>
      </c>
      <c r="Z223" s="22">
        <f>IF(Q223="","",IF(COUNTIFS($Q$3:Q223,Q223,$R$3:R223,R223)=1,1,0))</f>
        <v>1</v>
      </c>
    </row>
    <row r="224" spans="16:26" x14ac:dyDescent="0.4">
      <c r="P224" s="22" t="str">
        <f>RISK进展队列GEO回末测序数据整理!A223</f>
        <v>GSM1598629</v>
      </c>
      <c r="Q224" s="22" t="str">
        <f>RISK进展队列GEO回末测序数据整理!B223</f>
        <v>CCFA_Risk_222</v>
      </c>
      <c r="R224" s="22" t="str">
        <f>IF(LOWER(TRIM(RISK进展队列GEO回末测序数据整理!G223))="not ibd","Not IBD",TRIM(RISK进展队列GEO回末测序数据整理!G223))</f>
        <v>CD</v>
      </c>
      <c r="S224" s="22" t="str">
        <f>IF(LOWER(TRIM(RISK进展队列GEO回末测序数据整理!H223))="not ibd","Not IBD",TRIM(RISK进展队列GEO回末测序数据整理!H223))</f>
        <v>iCD</v>
      </c>
      <c r="T224" s="22" t="str">
        <f>IF(RISK进展队列GEO回末测序数据整理!D223="女","女性",IF(RISK进展队列GEO回末测序数据整理!D223="男","男性",TRIM(RISK进展队列GEO回末测序数据整理!D223)))</f>
        <v>女性</v>
      </c>
      <c r="U224" s="22">
        <f>RISK进展队列GEO回末测序数据整理!E223</f>
        <v>16.5</v>
      </c>
      <c r="V224" s="22" t="str">
        <f>RISK进展队列GEO回末测序数据整理!F223</f>
        <v>A1b</v>
      </c>
      <c r="W224" s="22" t="str">
        <f>IF(RISK进展队列GEO回末测序数据整理!I223="Macroscopic inflammation","Macro",IF(RISK进展队列GEO回末测序数据整理!I223="Microscopic inflammation","Micro",TRIM(RISK进展队列GEO回末测序数据整理!I223)))</f>
        <v>Macro</v>
      </c>
      <c r="X224" s="22" t="str">
        <f>IF(RISK进展队列GEO回末测序数据整理!J223=1,"Yes",IF(RISK进展队列GEO回末测序数据整理!J223=0,"No","N/A"))</f>
        <v>No</v>
      </c>
      <c r="Y224" s="22">
        <f>IF(Q224="","",IF(COUNTIF($Q$3:Q224,Q224)=1,1,0))</f>
        <v>1</v>
      </c>
      <c r="Z224" s="22">
        <f>IF(Q224="","",IF(COUNTIFS($Q$3:Q224,Q224,$R$3:R224,R224)=1,1,0))</f>
        <v>1</v>
      </c>
    </row>
    <row r="225" spans="16:26" x14ac:dyDescent="0.4">
      <c r="P225" s="22" t="str">
        <f>RISK进展队列GEO回末测序数据整理!A224</f>
        <v>GSM1598630</v>
      </c>
      <c r="Q225" s="22" t="str">
        <f>RISK进展队列GEO回末测序数据整理!B224</f>
        <v>CCFA_Risk_223</v>
      </c>
      <c r="R225" s="22" t="str">
        <f>IF(LOWER(TRIM(RISK进展队列GEO回末测序数据整理!G224))="not ibd","Not IBD",TRIM(RISK进展队列GEO回末测序数据整理!G224))</f>
        <v>CD</v>
      </c>
      <c r="S225" s="22" t="str">
        <f>IF(LOWER(TRIM(RISK进展队列GEO回末测序数据整理!H224))="not ibd","Not IBD",TRIM(RISK进展队列GEO回末测序数据整理!H224))</f>
        <v>iCD</v>
      </c>
      <c r="T225" s="22" t="str">
        <f>IF(RISK进展队列GEO回末测序数据整理!D224="女","女性",IF(RISK进展队列GEO回末测序数据整理!D224="男","男性",TRIM(RISK进展队列GEO回末测序数据整理!D224)))</f>
        <v>女性</v>
      </c>
      <c r="U225" s="22">
        <f>RISK进展队列GEO回末测序数据整理!E224</f>
        <v>10.67</v>
      </c>
      <c r="V225" s="22" t="str">
        <f>RISK进展队列GEO回末测序数据整理!F224</f>
        <v>A1b</v>
      </c>
      <c r="W225" s="22" t="str">
        <f>IF(RISK进展队列GEO回末测序数据整理!I224="Macroscopic inflammation","Macro",IF(RISK进展队列GEO回末测序数据整理!I224="Microscopic inflammation","Micro",TRIM(RISK进展队列GEO回末测序数据整理!I224)))</f>
        <v>Macro</v>
      </c>
      <c r="X225" s="22" t="str">
        <f>IF(RISK进展队列GEO回末测序数据整理!J224=1,"Yes",IF(RISK进展队列GEO回末测序数据整理!J224=0,"No","N/A"))</f>
        <v>Yes</v>
      </c>
      <c r="Y225" s="22">
        <f>IF(Q225="","",IF(COUNTIF($Q$3:Q225,Q225)=1,1,0))</f>
        <v>1</v>
      </c>
      <c r="Z225" s="22">
        <f>IF(Q225="","",IF(COUNTIFS($Q$3:Q225,Q225,$R$3:R225,R225)=1,1,0))</f>
        <v>1</v>
      </c>
    </row>
    <row r="226" spans="16:26" x14ac:dyDescent="0.4">
      <c r="P226" s="22" t="str">
        <f>RISK进展队列GEO回末测序数据整理!A225</f>
        <v>GSM1598631</v>
      </c>
      <c r="Q226" s="22" t="str">
        <f>RISK进展队列GEO回末测序数据整理!B225</f>
        <v>CCFA_Risk_224</v>
      </c>
      <c r="R226" s="22" t="str">
        <f>IF(LOWER(TRIM(RISK进展队列GEO回末测序数据整理!G225))="not ibd","Not IBD",TRIM(RISK进展队列GEO回末测序数据整理!G225))</f>
        <v>CD</v>
      </c>
      <c r="S226" s="22" t="str">
        <f>IF(LOWER(TRIM(RISK进展队列GEO回末测序数据整理!H225))="not ibd","Not IBD",TRIM(RISK进展队列GEO回末测序数据整理!H225))</f>
        <v>iCD</v>
      </c>
      <c r="T226" s="22" t="str">
        <f>IF(RISK进展队列GEO回末测序数据整理!D225="女","女性",IF(RISK进展队列GEO回末测序数据整理!D225="男","男性",TRIM(RISK进展队列GEO回末测序数据整理!D225)))</f>
        <v>男性</v>
      </c>
      <c r="U226" s="22">
        <f>RISK进展队列GEO回末测序数据整理!E225</f>
        <v>12.08</v>
      </c>
      <c r="V226" s="22" t="str">
        <f>RISK进展队列GEO回末测序数据整理!F225</f>
        <v>A1b</v>
      </c>
      <c r="W226" s="22" t="str">
        <f>IF(RISK进展队列GEO回末测序数据整理!I225="Macroscopic inflammation","Macro",IF(RISK进展队列GEO回末测序数据整理!I225="Microscopic inflammation","Micro",TRIM(RISK进展队列GEO回末测序数据整理!I225)))</f>
        <v>Macro</v>
      </c>
      <c r="X226" s="22" t="str">
        <f>IF(RISK进展队列GEO回末测序数据整理!J225=1,"Yes",IF(RISK进展队列GEO回末测序数据整理!J225=0,"No","N/A"))</f>
        <v>No</v>
      </c>
      <c r="Y226" s="22">
        <f>IF(Q226="","",IF(COUNTIF($Q$3:Q226,Q226)=1,1,0))</f>
        <v>1</v>
      </c>
      <c r="Z226" s="22">
        <f>IF(Q226="","",IF(COUNTIFS($Q$3:Q226,Q226,$R$3:R226,R226)=1,1,0))</f>
        <v>1</v>
      </c>
    </row>
    <row r="227" spans="16:26" x14ac:dyDescent="0.4">
      <c r="P227" s="22" t="str">
        <f>RISK进展队列GEO回末测序数据整理!A226</f>
        <v>GSM1598632</v>
      </c>
      <c r="Q227" s="22" t="str">
        <f>RISK进展队列GEO回末测序数据整理!B226</f>
        <v>CCFA_Risk_225</v>
      </c>
      <c r="R227" s="22" t="str">
        <f>IF(LOWER(TRIM(RISK进展队列GEO回末测序数据整理!G226))="not ibd","Not IBD",TRIM(RISK进展队列GEO回末测序数据整理!G226))</f>
        <v>CD</v>
      </c>
      <c r="S227" s="22" t="str">
        <f>IF(LOWER(TRIM(RISK进展队列GEO回末测序数据整理!H226))="not ibd","Not IBD",TRIM(RISK进展队列GEO回末测序数据整理!H226))</f>
        <v>iCD</v>
      </c>
      <c r="T227" s="22" t="str">
        <f>IF(RISK进展队列GEO回末测序数据整理!D226="女","女性",IF(RISK进展队列GEO回末测序数据整理!D226="男","男性",TRIM(RISK进展队列GEO回末测序数据整理!D226)))</f>
        <v>女性</v>
      </c>
      <c r="U227" s="22">
        <f>RISK进展队列GEO回末测序数据整理!E226</f>
        <v>15.42</v>
      </c>
      <c r="V227" s="22" t="str">
        <f>RISK进展队列GEO回末测序数据整理!F226</f>
        <v>A1b</v>
      </c>
      <c r="W227" s="22" t="str">
        <f>IF(RISK进展队列GEO回末测序数据整理!I226="Macroscopic inflammation","Macro",IF(RISK进展队列GEO回末测序数据整理!I226="Microscopic inflammation","Micro",TRIM(RISK进展队列GEO回末测序数据整理!I226)))</f>
        <v>Macro</v>
      </c>
      <c r="X227" s="22" t="str">
        <f>IF(RISK进展队列GEO回末测序数据整理!J226=1,"Yes",IF(RISK进展队列GEO回末测序数据整理!J226=0,"No","N/A"))</f>
        <v>No</v>
      </c>
      <c r="Y227" s="22">
        <f>IF(Q227="","",IF(COUNTIF($Q$3:Q227,Q227)=1,1,0))</f>
        <v>1</v>
      </c>
      <c r="Z227" s="22">
        <f>IF(Q227="","",IF(COUNTIFS($Q$3:Q227,Q227,$R$3:R227,R227)=1,1,0))</f>
        <v>1</v>
      </c>
    </row>
    <row r="228" spans="16:26" x14ac:dyDescent="0.4">
      <c r="P228" s="22" t="str">
        <f>RISK进展队列GEO回末测序数据整理!A227</f>
        <v>GSM1598633</v>
      </c>
      <c r="Q228" s="22" t="str">
        <f>RISK进展队列GEO回末测序数据整理!B227</f>
        <v>CCFA_Risk_226</v>
      </c>
      <c r="R228" s="22" t="str">
        <f>IF(LOWER(TRIM(RISK进展队列GEO回末测序数据整理!G227))="not ibd","Not IBD",TRIM(RISK进展队列GEO回末测序数据整理!G227))</f>
        <v>UC</v>
      </c>
      <c r="S228" s="22" t="str">
        <f>IF(LOWER(TRIM(RISK进展队列GEO回末测序数据整理!H227))="not ibd","Not IBD",TRIM(RISK进展队列GEO回末测序数据整理!H227))</f>
        <v>UC</v>
      </c>
      <c r="T228" s="22" t="str">
        <f>IF(RISK进展队列GEO回末测序数据整理!D227="女","女性",IF(RISK进展队列GEO回末测序数据整理!D227="男","男性",TRIM(RISK进展队列GEO回末测序数据整理!D227)))</f>
        <v>女性</v>
      </c>
      <c r="U228" s="22">
        <f>RISK进展队列GEO回末测序数据整理!E227</f>
        <v>11.92</v>
      </c>
      <c r="V228" s="22" t="str">
        <f>RISK进展队列GEO回末测序数据整理!F227</f>
        <v>A1b</v>
      </c>
      <c r="W228" s="22" t="str">
        <f>IF(RISK进展队列GEO回末测序数据整理!I227="Macroscopic inflammation","Macro",IF(RISK进展队列GEO回末测序数据整理!I227="Microscopic inflammation","Micro",TRIM(RISK进展队列GEO回末测序数据整理!I227)))</f>
        <v>NA</v>
      </c>
      <c r="X228" s="22" t="str">
        <f>IF(RISK进展队列GEO回末测序数据整理!J227=1,"Yes",IF(RISK进展队列GEO回末测序数据整理!J227=0,"No","N/A"))</f>
        <v>N/A</v>
      </c>
      <c r="Y228" s="22">
        <f>IF(Q228="","",IF(COUNTIF($Q$3:Q228,Q228)=1,1,0))</f>
        <v>1</v>
      </c>
      <c r="Z228" s="22">
        <f>IF(Q228="","",IF(COUNTIFS($Q$3:Q228,Q228,$R$3:R228,R228)=1,1,0))</f>
        <v>1</v>
      </c>
    </row>
    <row r="229" spans="16:26" x14ac:dyDescent="0.4">
      <c r="P229" s="22" t="str">
        <f>RISK进展队列GEO回末测序数据整理!A228</f>
        <v>GSM1598634</v>
      </c>
      <c r="Q229" s="22" t="str">
        <f>RISK进展队列GEO回末测序数据整理!B228</f>
        <v>CCFA_Risk_227</v>
      </c>
      <c r="R229" s="22" t="str">
        <f>IF(LOWER(TRIM(RISK进展队列GEO回末测序数据整理!G228))="not ibd","Not IBD",TRIM(RISK进展队列GEO回末测序数据整理!G228))</f>
        <v>CD</v>
      </c>
      <c r="S229" s="22" t="str">
        <f>IF(LOWER(TRIM(RISK进展队列GEO回末测序数据整理!H228))="not ibd","Not IBD",TRIM(RISK进展队列GEO回末测序数据整理!H228))</f>
        <v>iCD</v>
      </c>
      <c r="T229" s="22" t="str">
        <f>IF(RISK进展队列GEO回末测序数据整理!D228="女","女性",IF(RISK进展队列GEO回末测序数据整理!D228="男","男性",TRIM(RISK进展队列GEO回末测序数据整理!D228)))</f>
        <v>男性</v>
      </c>
      <c r="U229" s="22">
        <f>RISK进展队列GEO回末测序数据整理!E228</f>
        <v>13.17</v>
      </c>
      <c r="V229" s="22" t="str">
        <f>RISK进展队列GEO回末测序数据整理!F228</f>
        <v>A1b</v>
      </c>
      <c r="W229" s="22" t="str">
        <f>IF(RISK进展队列GEO回末测序数据整理!I228="Macroscopic inflammation","Macro",IF(RISK进展队列GEO回末测序数据整理!I228="Microscopic inflammation","Micro",TRIM(RISK进展队列GEO回末测序数据整理!I228)))</f>
        <v>Macro</v>
      </c>
      <c r="X229" s="22" t="str">
        <f>IF(RISK进展队列GEO回末测序数据整理!J228=1,"Yes",IF(RISK进展队列GEO回末测序数据整理!J228=0,"No","N/A"))</f>
        <v>No</v>
      </c>
      <c r="Y229" s="22">
        <f>IF(Q229="","",IF(COUNTIF($Q$3:Q229,Q229)=1,1,0))</f>
        <v>1</v>
      </c>
      <c r="Z229" s="22">
        <f>IF(Q229="","",IF(COUNTIFS($Q$3:Q229,Q229,$R$3:R229,R229)=1,1,0))</f>
        <v>1</v>
      </c>
    </row>
    <row r="230" spans="16:26" x14ac:dyDescent="0.4">
      <c r="P230" s="22" t="str">
        <f>RISK进展队列GEO回末测序数据整理!A229</f>
        <v>GSM1598635</v>
      </c>
      <c r="Q230" s="22" t="str">
        <f>RISK进展队列GEO回末测序数据整理!B229</f>
        <v>CCFA_Risk_228</v>
      </c>
      <c r="R230" s="22" t="str">
        <f>IF(LOWER(TRIM(RISK进展队列GEO回末测序数据整理!G229))="not ibd","Not IBD",TRIM(RISK进展队列GEO回末测序数据整理!G229))</f>
        <v>CD</v>
      </c>
      <c r="S230" s="22" t="str">
        <f>IF(LOWER(TRIM(RISK进展队列GEO回末测序数据整理!H229))="not ibd","Not IBD",TRIM(RISK进展队列GEO回末测序数据整理!H229))</f>
        <v>iCD</v>
      </c>
      <c r="T230" s="22" t="str">
        <f>IF(RISK进展队列GEO回末测序数据整理!D229="女","女性",IF(RISK进展队列GEO回末测序数据整理!D229="男","男性",TRIM(RISK进展队列GEO回末测序数据整理!D229)))</f>
        <v>男性</v>
      </c>
      <c r="U230" s="22">
        <f>RISK进展队列GEO回末测序数据整理!E229</f>
        <v>10.83</v>
      </c>
      <c r="V230" s="22" t="str">
        <f>RISK进展队列GEO回末测序数据整理!F229</f>
        <v>A1b</v>
      </c>
      <c r="W230" s="22" t="str">
        <f>IF(RISK进展队列GEO回末测序数据整理!I229="Macroscopic inflammation","Macro",IF(RISK进展队列GEO回末测序数据整理!I229="Microscopic inflammation","Micro",TRIM(RISK进展队列GEO回末测序数据整理!I229)))</f>
        <v>Macro</v>
      </c>
      <c r="X230" s="22" t="str">
        <f>IF(RISK进展队列GEO回末测序数据整理!J229=1,"Yes",IF(RISK进展队列GEO回末测序数据整理!J229=0,"No","N/A"))</f>
        <v>No</v>
      </c>
      <c r="Y230" s="22">
        <f>IF(Q230="","",IF(COUNTIF($Q$3:Q230,Q230)=1,1,0))</f>
        <v>1</v>
      </c>
      <c r="Z230" s="22">
        <f>IF(Q230="","",IF(COUNTIFS($Q$3:Q230,Q230,$R$3:R230,R230)=1,1,0))</f>
        <v>1</v>
      </c>
    </row>
    <row r="231" spans="16:26" x14ac:dyDescent="0.4">
      <c r="P231" s="22" t="str">
        <f>RISK进展队列GEO回末测序数据整理!A230</f>
        <v>GSM1598636</v>
      </c>
      <c r="Q231" s="22" t="str">
        <f>RISK进展队列GEO回末测序数据整理!B230</f>
        <v>CCFA_Risk_229</v>
      </c>
      <c r="R231" s="22" t="str">
        <f>IF(LOWER(TRIM(RISK进展队列GEO回末测序数据整理!G230))="not ibd","Not IBD",TRIM(RISK进展队列GEO回末测序数据整理!G230))</f>
        <v>CD</v>
      </c>
      <c r="S231" s="22" t="str">
        <f>IF(LOWER(TRIM(RISK进展队列GEO回末测序数据整理!H230))="not ibd","Not IBD",TRIM(RISK进展队列GEO回末测序数据整理!H230))</f>
        <v>iCD</v>
      </c>
      <c r="T231" s="22" t="str">
        <f>IF(RISK进展队列GEO回末测序数据整理!D230="女","女性",IF(RISK进展队列GEO回末测序数据整理!D230="男","男性",TRIM(RISK进展队列GEO回末测序数据整理!D230)))</f>
        <v>男性</v>
      </c>
      <c r="U231" s="22">
        <f>RISK进展队列GEO回末测序数据整理!E230</f>
        <v>15.5</v>
      </c>
      <c r="V231" s="22" t="str">
        <f>RISK进展队列GEO回末测序数据整理!F230</f>
        <v>A1b</v>
      </c>
      <c r="W231" s="22" t="str">
        <f>IF(RISK进展队列GEO回末测序数据整理!I230="Macroscopic inflammation","Macro",IF(RISK进展队列GEO回末测序数据整理!I230="Microscopic inflammation","Micro",TRIM(RISK进展队列GEO回末测序数据整理!I230)))</f>
        <v>Macro</v>
      </c>
      <c r="X231" s="22" t="str">
        <f>IF(RISK进展队列GEO回末测序数据整理!J230=1,"Yes",IF(RISK进展队列GEO回末测序数据整理!J230=0,"No","N/A"))</f>
        <v>Yes</v>
      </c>
      <c r="Y231" s="22">
        <f>IF(Q231="","",IF(COUNTIF($Q$3:Q231,Q231)=1,1,0))</f>
        <v>1</v>
      </c>
      <c r="Z231" s="22">
        <f>IF(Q231="","",IF(COUNTIFS($Q$3:Q231,Q231,$R$3:R231,R231)=1,1,0))</f>
        <v>1</v>
      </c>
    </row>
    <row r="232" spans="16:26" x14ac:dyDescent="0.4">
      <c r="P232" s="22" t="str">
        <f>RISK进展队列GEO回末测序数据整理!A231</f>
        <v>GSM1598637</v>
      </c>
      <c r="Q232" s="22" t="str">
        <f>RISK进展队列GEO回末测序数据整理!B231</f>
        <v>CCFA_Risk_230</v>
      </c>
      <c r="R232" s="22" t="str">
        <f>IF(LOWER(TRIM(RISK进展队列GEO回末测序数据整理!G231))="not ibd","Not IBD",TRIM(RISK进展队列GEO回末测序数据整理!G231))</f>
        <v>CD</v>
      </c>
      <c r="S232" s="22" t="str">
        <f>IF(LOWER(TRIM(RISK进展队列GEO回末测序数据整理!H231))="not ibd","Not IBD",TRIM(RISK进展队列GEO回末测序数据整理!H231))</f>
        <v>iCD</v>
      </c>
      <c r="T232" s="22" t="str">
        <f>IF(RISK进展队列GEO回末测序数据整理!D231="女","女性",IF(RISK进展队列GEO回末测序数据整理!D231="男","男性",TRIM(RISK进展队列GEO回末测序数据整理!D231)))</f>
        <v>男性</v>
      </c>
      <c r="U232" s="22">
        <f>RISK进展队列GEO回末测序数据整理!E231</f>
        <v>16.75</v>
      </c>
      <c r="V232" s="22" t="str">
        <f>RISK进展队列GEO回末测序数据整理!F231</f>
        <v>A1b</v>
      </c>
      <c r="W232" s="22" t="str">
        <f>IF(RISK进展队列GEO回末测序数据整理!I231="Macroscopic inflammation","Macro",IF(RISK进展队列GEO回末测序数据整理!I231="Microscopic inflammation","Micro",TRIM(RISK进展队列GEO回末测序数据整理!I231)))</f>
        <v>Macro</v>
      </c>
      <c r="X232" s="22" t="str">
        <f>IF(RISK进展队列GEO回末测序数据整理!J231=1,"Yes",IF(RISK进展队列GEO回末测序数据整理!J231=0,"No","N/A"))</f>
        <v>Yes</v>
      </c>
      <c r="Y232" s="22">
        <f>IF(Q232="","",IF(COUNTIF($Q$3:Q232,Q232)=1,1,0))</f>
        <v>1</v>
      </c>
      <c r="Z232" s="22">
        <f>IF(Q232="","",IF(COUNTIFS($Q$3:Q232,Q232,$R$3:R232,R232)=1,1,0))</f>
        <v>1</v>
      </c>
    </row>
    <row r="233" spans="16:26" x14ac:dyDescent="0.4">
      <c r="P233" s="22" t="str">
        <f>RISK进展队列GEO回末测序数据整理!A232</f>
        <v>GSM1598638</v>
      </c>
      <c r="Q233" s="22" t="str">
        <f>RISK进展队列GEO回末测序数据整理!B232</f>
        <v>CCFA_Risk_231</v>
      </c>
      <c r="R233" s="22" t="str">
        <f>IF(LOWER(TRIM(RISK进展队列GEO回末测序数据整理!G232))="not ibd","Not IBD",TRIM(RISK进展队列GEO回末测序数据整理!G232))</f>
        <v>CD</v>
      </c>
      <c r="S233" s="22" t="str">
        <f>IF(LOWER(TRIM(RISK进展队列GEO回末测序数据整理!H232))="not ibd","Not IBD",TRIM(RISK进展队列GEO回末测序数据整理!H232))</f>
        <v>iCD</v>
      </c>
      <c r="T233" s="22" t="str">
        <f>IF(RISK进展队列GEO回末测序数据整理!D232="女","女性",IF(RISK进展队列GEO回末测序数据整理!D232="男","男性",TRIM(RISK进展队列GEO回末测序数据整理!D232)))</f>
        <v>女性</v>
      </c>
      <c r="U233" s="22">
        <f>RISK进展队列GEO回末测序数据整理!E232</f>
        <v>10.17</v>
      </c>
      <c r="V233" s="22" t="str">
        <f>RISK进展队列GEO回末测序数据整理!F232</f>
        <v>A1b</v>
      </c>
      <c r="W233" s="22" t="str">
        <f>IF(RISK进展队列GEO回末测序数据整理!I232="Macroscopic inflammation","Macro",IF(RISK进展队列GEO回末测序数据整理!I232="Microscopic inflammation","Micro",TRIM(RISK进展队列GEO回末测序数据整理!I232)))</f>
        <v>Macro</v>
      </c>
      <c r="X233" s="22" t="str">
        <f>IF(RISK进展队列GEO回末测序数据整理!J232=1,"Yes",IF(RISK进展队列GEO回末测序数据整理!J232=0,"No","N/A"))</f>
        <v>Yes</v>
      </c>
      <c r="Y233" s="22">
        <f>IF(Q233="","",IF(COUNTIF($Q$3:Q233,Q233)=1,1,0))</f>
        <v>1</v>
      </c>
      <c r="Z233" s="22">
        <f>IF(Q233="","",IF(COUNTIFS($Q$3:Q233,Q233,$R$3:R233,R233)=1,1,0))</f>
        <v>1</v>
      </c>
    </row>
    <row r="234" spans="16:26" x14ac:dyDescent="0.4">
      <c r="P234" s="22" t="str">
        <f>RISK进展队列GEO回末测序数据整理!A233</f>
        <v>GSM1598639</v>
      </c>
      <c r="Q234" s="22" t="str">
        <f>RISK进展队列GEO回末测序数据整理!B233</f>
        <v>CCFA_Risk_232</v>
      </c>
      <c r="R234" s="22" t="str">
        <f>IF(LOWER(TRIM(RISK进展队列GEO回末测序数据整理!G233))="not ibd","Not IBD",TRIM(RISK进展队列GEO回末测序数据整理!G233))</f>
        <v>UC</v>
      </c>
      <c r="S234" s="22" t="str">
        <f>IF(LOWER(TRIM(RISK进展队列GEO回末测序数据整理!H233))="not ibd","Not IBD",TRIM(RISK进展队列GEO回末测序数据整理!H233))</f>
        <v>UC</v>
      </c>
      <c r="T234" s="22" t="str">
        <f>IF(RISK进展队列GEO回末测序数据整理!D233="女","女性",IF(RISK进展队列GEO回末测序数据整理!D233="男","男性",TRIM(RISK进展队列GEO回末测序数据整理!D233)))</f>
        <v>男性</v>
      </c>
      <c r="U234" s="22">
        <f>RISK进展队列GEO回末测序数据整理!E233</f>
        <v>8.5</v>
      </c>
      <c r="V234" s="22" t="str">
        <f>RISK进展队列GEO回末测序数据整理!F233</f>
        <v>A1a</v>
      </c>
      <c r="W234" s="22" t="str">
        <f>IF(RISK进展队列GEO回末测序数据整理!I233="Macroscopic inflammation","Macro",IF(RISK进展队列GEO回末测序数据整理!I233="Microscopic inflammation","Micro",TRIM(RISK进展队列GEO回末测序数据整理!I233)))</f>
        <v>NA</v>
      </c>
      <c r="X234" s="22" t="str">
        <f>IF(RISK进展队列GEO回末测序数据整理!J233=1,"Yes",IF(RISK进展队列GEO回末测序数据整理!J233=0,"No","N/A"))</f>
        <v>N/A</v>
      </c>
      <c r="Y234" s="22">
        <f>IF(Q234="","",IF(COUNTIF($Q$3:Q234,Q234)=1,1,0))</f>
        <v>1</v>
      </c>
      <c r="Z234" s="22">
        <f>IF(Q234="","",IF(COUNTIFS($Q$3:Q234,Q234,$R$3:R234,R234)=1,1,0))</f>
        <v>1</v>
      </c>
    </row>
    <row r="235" spans="16:26" x14ac:dyDescent="0.4">
      <c r="P235" s="22" t="str">
        <f>RISK进展队列GEO回末测序数据整理!A234</f>
        <v>GSM1598640</v>
      </c>
      <c r="Q235" s="22" t="str">
        <f>RISK进展队列GEO回末测序数据整理!B234</f>
        <v>CCFA_Risk_233</v>
      </c>
      <c r="R235" s="22" t="str">
        <f>IF(LOWER(TRIM(RISK进展队列GEO回末测序数据整理!G234))="not ibd","Not IBD",TRIM(RISK进展队列GEO回末测序数据整理!G234))</f>
        <v>UC</v>
      </c>
      <c r="S235" s="22" t="str">
        <f>IF(LOWER(TRIM(RISK进展队列GEO回末测序数据整理!H234))="not ibd","Not IBD",TRIM(RISK进展队列GEO回末测序数据整理!H234))</f>
        <v>UC</v>
      </c>
      <c r="T235" s="22" t="str">
        <f>IF(RISK进展队列GEO回末测序数据整理!D234="女","女性",IF(RISK进展队列GEO回末测序数据整理!D234="男","男性",TRIM(RISK进展队列GEO回末测序数据整理!D234)))</f>
        <v>男性</v>
      </c>
      <c r="U235" s="22">
        <f>RISK进展队列GEO回末测序数据整理!E234</f>
        <v>14</v>
      </c>
      <c r="V235" s="22" t="str">
        <f>RISK进展队列GEO回末测序数据整理!F234</f>
        <v>A1b</v>
      </c>
      <c r="W235" s="22" t="str">
        <f>IF(RISK进展队列GEO回末测序数据整理!I234="Macroscopic inflammation","Macro",IF(RISK进展队列GEO回末测序数据整理!I234="Microscopic inflammation","Micro",TRIM(RISK进展队列GEO回末测序数据整理!I234)))</f>
        <v>NA</v>
      </c>
      <c r="X235" s="22" t="str">
        <f>IF(RISK进展队列GEO回末测序数据整理!J234=1,"Yes",IF(RISK进展队列GEO回末测序数据整理!J234=0,"No","N/A"))</f>
        <v>N/A</v>
      </c>
      <c r="Y235" s="22">
        <f>IF(Q235="","",IF(COUNTIF($Q$3:Q235,Q235)=1,1,0))</f>
        <v>1</v>
      </c>
      <c r="Z235" s="22">
        <f>IF(Q235="","",IF(COUNTIFS($Q$3:Q235,Q235,$R$3:R235,R235)=1,1,0))</f>
        <v>1</v>
      </c>
    </row>
    <row r="236" spans="16:26" x14ac:dyDescent="0.4">
      <c r="P236" s="22" t="str">
        <f>RISK进展队列GEO回末测序数据整理!A235</f>
        <v>GSM1598641</v>
      </c>
      <c r="Q236" s="22" t="str">
        <f>RISK进展队列GEO回末测序数据整理!B235</f>
        <v>CCFA_Risk_234</v>
      </c>
      <c r="R236" s="22" t="str">
        <f>IF(LOWER(TRIM(RISK进展队列GEO回末测序数据整理!G235))="not ibd","Not IBD",TRIM(RISK进展队列GEO回末测序数据整理!G235))</f>
        <v>UC</v>
      </c>
      <c r="S236" s="22" t="str">
        <f>IF(LOWER(TRIM(RISK进展队列GEO回末测序数据整理!H235))="not ibd","Not IBD",TRIM(RISK进展队列GEO回末测序数据整理!H235))</f>
        <v>UC</v>
      </c>
      <c r="T236" s="22" t="str">
        <f>IF(RISK进展队列GEO回末测序数据整理!D235="女","女性",IF(RISK进展队列GEO回末测序数据整理!D235="男","男性",TRIM(RISK进展队列GEO回末测序数据整理!D235)))</f>
        <v>男性</v>
      </c>
      <c r="U236" s="22">
        <f>RISK进展队列GEO回末测序数据整理!E235</f>
        <v>13.75</v>
      </c>
      <c r="V236" s="22" t="str">
        <f>RISK进展队列GEO回末测序数据整理!F235</f>
        <v>A1b</v>
      </c>
      <c r="W236" s="22" t="str">
        <f>IF(RISK进展队列GEO回末测序数据整理!I235="Macroscopic inflammation","Macro",IF(RISK进展队列GEO回末测序数据整理!I235="Microscopic inflammation","Micro",TRIM(RISK进展队列GEO回末测序数据整理!I235)))</f>
        <v>NA</v>
      </c>
      <c r="X236" s="22" t="str">
        <f>IF(RISK进展队列GEO回末测序数据整理!J235=1,"Yes",IF(RISK进展队列GEO回末测序数据整理!J235=0,"No","N/A"))</f>
        <v>N/A</v>
      </c>
      <c r="Y236" s="22">
        <f>IF(Q236="","",IF(COUNTIF($Q$3:Q236,Q236)=1,1,0))</f>
        <v>1</v>
      </c>
      <c r="Z236" s="22">
        <f>IF(Q236="","",IF(COUNTIFS($Q$3:Q236,Q236,$R$3:R236,R236)=1,1,0))</f>
        <v>1</v>
      </c>
    </row>
    <row r="237" spans="16:26" x14ac:dyDescent="0.4">
      <c r="P237" s="22" t="str">
        <f>RISK进展队列GEO回末测序数据整理!A236</f>
        <v>GSM1598642</v>
      </c>
      <c r="Q237" s="22" t="str">
        <f>RISK进展队列GEO回末测序数据整理!B236</f>
        <v>CCFA_Risk_235</v>
      </c>
      <c r="R237" s="22" t="str">
        <f>IF(LOWER(TRIM(RISK进展队列GEO回末测序数据整理!G236))="not ibd","Not IBD",TRIM(RISK进展队列GEO回末测序数据整理!G236))</f>
        <v>UC</v>
      </c>
      <c r="S237" s="22" t="str">
        <f>IF(LOWER(TRIM(RISK进展队列GEO回末测序数据整理!H236))="not ibd","Not IBD",TRIM(RISK进展队列GEO回末测序数据整理!H236))</f>
        <v>UC</v>
      </c>
      <c r="T237" s="22" t="str">
        <f>IF(RISK进展队列GEO回末测序数据整理!D236="女","女性",IF(RISK进展队列GEO回末测序数据整理!D236="男","男性",TRIM(RISK进展队列GEO回末测序数据整理!D236)))</f>
        <v>女性</v>
      </c>
      <c r="U237" s="22">
        <f>RISK进展队列GEO回末测序数据整理!E236</f>
        <v>16.579999999999998</v>
      </c>
      <c r="V237" s="22" t="str">
        <f>RISK进展队列GEO回末测序数据整理!F236</f>
        <v>A1b</v>
      </c>
      <c r="W237" s="22" t="str">
        <f>IF(RISK进展队列GEO回末测序数据整理!I236="Macroscopic inflammation","Macro",IF(RISK进展队列GEO回末测序数据整理!I236="Microscopic inflammation","Micro",TRIM(RISK进展队列GEO回末测序数据整理!I236)))</f>
        <v>NA</v>
      </c>
      <c r="X237" s="22" t="str">
        <f>IF(RISK进展队列GEO回末测序数据整理!J236=1,"Yes",IF(RISK进展队列GEO回末测序数据整理!J236=0,"No","N/A"))</f>
        <v>N/A</v>
      </c>
      <c r="Y237" s="22">
        <f>IF(Q237="","",IF(COUNTIF($Q$3:Q237,Q237)=1,1,0))</f>
        <v>1</v>
      </c>
      <c r="Z237" s="22">
        <f>IF(Q237="","",IF(COUNTIFS($Q$3:Q237,Q237,$R$3:R237,R237)=1,1,0))</f>
        <v>1</v>
      </c>
    </row>
    <row r="238" spans="16:26" x14ac:dyDescent="0.4">
      <c r="P238" s="22" t="str">
        <f>RISK进展队列GEO回末测序数据整理!A237</f>
        <v>GSM1598643</v>
      </c>
      <c r="Q238" s="22" t="str">
        <f>RISK进展队列GEO回末测序数据整理!B237</f>
        <v>CCFA_Risk_236</v>
      </c>
      <c r="R238" s="22" t="str">
        <f>IF(LOWER(TRIM(RISK进展队列GEO回末测序数据整理!G237))="not ibd","Not IBD",TRIM(RISK进展队列GEO回末测序数据整理!G237))</f>
        <v>CD</v>
      </c>
      <c r="S238" s="22" t="str">
        <f>IF(LOWER(TRIM(RISK进展队列GEO回末测序数据整理!H237))="not ibd","Not IBD",TRIM(RISK进展队列GEO回末测序数据整理!H237))</f>
        <v>iCD</v>
      </c>
      <c r="T238" s="22" t="str">
        <f>IF(RISK进展队列GEO回末测序数据整理!D237="女","女性",IF(RISK进展队列GEO回末测序数据整理!D237="男","男性",TRIM(RISK进展队列GEO回末测序数据整理!D237)))</f>
        <v>女性</v>
      </c>
      <c r="U238" s="22">
        <f>RISK进展队列GEO回末测序数据整理!E237</f>
        <v>12.42</v>
      </c>
      <c r="V238" s="22" t="str">
        <f>RISK进展队列GEO回末测序数据整理!F237</f>
        <v>A1b</v>
      </c>
      <c r="W238" s="22" t="str">
        <f>IF(RISK进展队列GEO回末测序数据整理!I237="Macroscopic inflammation","Macro",IF(RISK进展队列GEO回末测序数据整理!I237="Microscopic inflammation","Micro",TRIM(RISK进展队列GEO回末测序数据整理!I237)))</f>
        <v>Macro</v>
      </c>
      <c r="X238" s="22" t="str">
        <f>IF(RISK进展队列GEO回末测序数据整理!J237=1,"Yes",IF(RISK进展队列GEO回末测序数据整理!J237=0,"No","N/A"))</f>
        <v>Yes</v>
      </c>
      <c r="Y238" s="22">
        <f>IF(Q238="","",IF(COUNTIF($Q$3:Q238,Q238)=1,1,0))</f>
        <v>1</v>
      </c>
      <c r="Z238" s="22">
        <f>IF(Q238="","",IF(COUNTIFS($Q$3:Q238,Q238,$R$3:R238,R238)=1,1,0))</f>
        <v>1</v>
      </c>
    </row>
    <row r="239" spans="16:26" x14ac:dyDescent="0.4">
      <c r="P239" s="22" t="str">
        <f>RISK进展队列GEO回末测序数据整理!A238</f>
        <v>GSM1598644</v>
      </c>
      <c r="Q239" s="22" t="str">
        <f>RISK进展队列GEO回末测序数据整理!B238</f>
        <v>CCFA_Risk_237</v>
      </c>
      <c r="R239" s="22" t="str">
        <f>IF(LOWER(TRIM(RISK进展队列GEO回末测序数据整理!G238))="not ibd","Not IBD",TRIM(RISK进展队列GEO回末测序数据整理!G238))</f>
        <v>CD</v>
      </c>
      <c r="S239" s="22" t="str">
        <f>IF(LOWER(TRIM(RISK进展队列GEO回末测序数据整理!H238))="not ibd","Not IBD",TRIM(RISK进展队列GEO回末测序数据整理!H238))</f>
        <v>iCD</v>
      </c>
      <c r="T239" s="22" t="str">
        <f>IF(RISK进展队列GEO回末测序数据整理!D238="女","女性",IF(RISK进展队列GEO回末测序数据整理!D238="男","男性",TRIM(RISK进展队列GEO回末测序数据整理!D238)))</f>
        <v>男性</v>
      </c>
      <c r="U239" s="22">
        <f>RISK进展队列GEO回末测序数据整理!E238</f>
        <v>12.58</v>
      </c>
      <c r="V239" s="22" t="str">
        <f>RISK进展队列GEO回末测序数据整理!F238</f>
        <v>A1b</v>
      </c>
      <c r="W239" s="22" t="str">
        <f>IF(RISK进展队列GEO回末测序数据整理!I238="Macroscopic inflammation","Macro",IF(RISK进展队列GEO回末测序数据整理!I238="Microscopic inflammation","Micro",TRIM(RISK进展队列GEO回末测序数据整理!I238)))</f>
        <v>Macro</v>
      </c>
      <c r="X239" s="22" t="str">
        <f>IF(RISK进展队列GEO回末测序数据整理!J238=1,"Yes",IF(RISK进展队列GEO回末测序数据整理!J238=0,"No","N/A"))</f>
        <v>No</v>
      </c>
      <c r="Y239" s="22">
        <f>IF(Q239="","",IF(COUNTIF($Q$3:Q239,Q239)=1,1,0))</f>
        <v>1</v>
      </c>
      <c r="Z239" s="22">
        <f>IF(Q239="","",IF(COUNTIFS($Q$3:Q239,Q239,$R$3:R239,R239)=1,1,0))</f>
        <v>1</v>
      </c>
    </row>
    <row r="240" spans="16:26" x14ac:dyDescent="0.4">
      <c r="P240" s="22" t="str">
        <f>RISK进展队列GEO回末测序数据整理!A239</f>
        <v>GSM1598645</v>
      </c>
      <c r="Q240" s="22" t="str">
        <f>RISK进展队列GEO回末测序数据整理!B239</f>
        <v>CCFA_Risk_238</v>
      </c>
      <c r="R240" s="22" t="str">
        <f>IF(LOWER(TRIM(RISK进展队列GEO回末测序数据整理!G239))="not ibd","Not IBD",TRIM(RISK进展队列GEO回末测序数据整理!G239))</f>
        <v>UC</v>
      </c>
      <c r="S240" s="22" t="str">
        <f>IF(LOWER(TRIM(RISK进展队列GEO回末测序数据整理!H239))="not ibd","Not IBD",TRIM(RISK进展队列GEO回末测序数据整理!H239))</f>
        <v>UC</v>
      </c>
      <c r="T240" s="22" t="str">
        <f>IF(RISK进展队列GEO回末测序数据整理!D239="女","女性",IF(RISK进展队列GEO回末测序数据整理!D239="男","男性",TRIM(RISK进展队列GEO回末测序数据整理!D239)))</f>
        <v>男性</v>
      </c>
      <c r="U240" s="22">
        <f>RISK进展队列GEO回末测序数据整理!E239</f>
        <v>5.75</v>
      </c>
      <c r="V240" s="22" t="str">
        <f>RISK进展队列GEO回末测序数据整理!F239</f>
        <v>A1a</v>
      </c>
      <c r="W240" s="22" t="str">
        <f>IF(RISK进展队列GEO回末测序数据整理!I239="Macroscopic inflammation","Macro",IF(RISK进展队列GEO回末测序数据整理!I239="Microscopic inflammation","Micro",TRIM(RISK进展队列GEO回末测序数据整理!I239)))</f>
        <v>NA</v>
      </c>
      <c r="X240" s="22" t="str">
        <f>IF(RISK进展队列GEO回末测序数据整理!J239=1,"Yes",IF(RISK进展队列GEO回末测序数据整理!J239=0,"No","N/A"))</f>
        <v>N/A</v>
      </c>
      <c r="Y240" s="22">
        <f>IF(Q240="","",IF(COUNTIF($Q$3:Q240,Q240)=1,1,0))</f>
        <v>1</v>
      </c>
      <c r="Z240" s="22">
        <f>IF(Q240="","",IF(COUNTIFS($Q$3:Q240,Q240,$R$3:R240,R240)=1,1,0))</f>
        <v>1</v>
      </c>
    </row>
    <row r="241" spans="16:26" x14ac:dyDescent="0.4">
      <c r="P241" s="22" t="str">
        <f>RISK进展队列GEO回末测序数据整理!A240</f>
        <v>GSM1598646</v>
      </c>
      <c r="Q241" s="22" t="str">
        <f>RISK进展队列GEO回末测序数据整理!B240</f>
        <v>CCFA_Risk_239</v>
      </c>
      <c r="R241" s="22" t="str">
        <f>IF(LOWER(TRIM(RISK进展队列GEO回末测序数据整理!G240))="not ibd","Not IBD",TRIM(RISK进展队列GEO回末测序数据整理!G240))</f>
        <v>UC</v>
      </c>
      <c r="S241" s="22" t="str">
        <f>IF(LOWER(TRIM(RISK进展队列GEO回末测序数据整理!H240))="not ibd","Not IBD",TRIM(RISK进展队列GEO回末测序数据整理!H240))</f>
        <v>UC</v>
      </c>
      <c r="T241" s="22" t="str">
        <f>IF(RISK进展队列GEO回末测序数据整理!D240="女","女性",IF(RISK进展队列GEO回末测序数据整理!D240="男","男性",TRIM(RISK进展队列GEO回末测序数据整理!D240)))</f>
        <v>男性</v>
      </c>
      <c r="U241" s="22">
        <f>RISK进展队列GEO回末测序数据整理!E240</f>
        <v>15</v>
      </c>
      <c r="V241" s="22" t="str">
        <f>RISK进展队列GEO回末测序数据整理!F240</f>
        <v>A1b</v>
      </c>
      <c r="W241" s="22" t="str">
        <f>IF(RISK进展队列GEO回末测序数据整理!I240="Macroscopic inflammation","Macro",IF(RISK进展队列GEO回末测序数据整理!I240="Microscopic inflammation","Micro",TRIM(RISK进展队列GEO回末测序数据整理!I240)))</f>
        <v>NA</v>
      </c>
      <c r="X241" s="22" t="str">
        <f>IF(RISK进展队列GEO回末测序数据整理!J240=1,"Yes",IF(RISK进展队列GEO回末测序数据整理!J240=0,"No","N/A"))</f>
        <v>N/A</v>
      </c>
      <c r="Y241" s="22">
        <f>IF(Q241="","",IF(COUNTIF($Q$3:Q241,Q241)=1,1,0))</f>
        <v>1</v>
      </c>
      <c r="Z241" s="22">
        <f>IF(Q241="","",IF(COUNTIFS($Q$3:Q241,Q241,$R$3:R241,R241)=1,1,0))</f>
        <v>1</v>
      </c>
    </row>
    <row r="242" spans="16:26" x14ac:dyDescent="0.4">
      <c r="P242" s="22" t="str">
        <f>RISK进展队列GEO回末测序数据整理!A241</f>
        <v>GSM1598647</v>
      </c>
      <c r="Q242" s="22" t="str">
        <f>RISK进展队列GEO回末测序数据整理!B241</f>
        <v>CCFA_Risk_240</v>
      </c>
      <c r="R242" s="22" t="str">
        <f>IF(LOWER(TRIM(RISK进展队列GEO回末测序数据整理!G241))="not ibd","Not IBD",TRIM(RISK进展队列GEO回末测序数据整理!G241))</f>
        <v>UC</v>
      </c>
      <c r="S242" s="22" t="str">
        <f>IF(LOWER(TRIM(RISK进展队列GEO回末测序数据整理!H241))="not ibd","Not IBD",TRIM(RISK进展队列GEO回末测序数据整理!H241))</f>
        <v>UC</v>
      </c>
      <c r="T242" s="22" t="str">
        <f>IF(RISK进展队列GEO回末测序数据整理!D241="女","女性",IF(RISK进展队列GEO回末测序数据整理!D241="男","男性",TRIM(RISK进展队列GEO回末测序数据整理!D241)))</f>
        <v>女性</v>
      </c>
      <c r="U242" s="22">
        <f>RISK进展队列GEO回末测序数据整理!E241</f>
        <v>11.83</v>
      </c>
      <c r="V242" s="22" t="str">
        <f>RISK进展队列GEO回末测序数据整理!F241</f>
        <v>A1b</v>
      </c>
      <c r="W242" s="22" t="str">
        <f>IF(RISK进展队列GEO回末测序数据整理!I241="Macroscopic inflammation","Macro",IF(RISK进展队列GEO回末测序数据整理!I241="Microscopic inflammation","Micro",TRIM(RISK进展队列GEO回末测序数据整理!I241)))</f>
        <v>NA</v>
      </c>
      <c r="X242" s="22" t="str">
        <f>IF(RISK进展队列GEO回末测序数据整理!J241=1,"Yes",IF(RISK进展队列GEO回末测序数据整理!J241=0,"No","N/A"))</f>
        <v>N/A</v>
      </c>
      <c r="Y242" s="22">
        <f>IF(Q242="","",IF(COUNTIF($Q$3:Q242,Q242)=1,1,0))</f>
        <v>1</v>
      </c>
      <c r="Z242" s="22">
        <f>IF(Q242="","",IF(COUNTIFS($Q$3:Q242,Q242,$R$3:R242,R242)=1,1,0))</f>
        <v>1</v>
      </c>
    </row>
    <row r="243" spans="16:26" x14ac:dyDescent="0.4">
      <c r="P243" s="22" t="str">
        <f>RISK进展队列GEO回末测序数据整理!A242</f>
        <v>GSM1598648</v>
      </c>
      <c r="Q243" s="22" t="str">
        <f>RISK进展队列GEO回末测序数据整理!B242</f>
        <v>CCFA_Risk_241</v>
      </c>
      <c r="R243" s="22" t="str">
        <f>IF(LOWER(TRIM(RISK进展队列GEO回末测序数据整理!G242))="not ibd","Not IBD",TRIM(RISK进展队列GEO回末测序数据整理!G242))</f>
        <v>UC</v>
      </c>
      <c r="S243" s="22" t="str">
        <f>IF(LOWER(TRIM(RISK进展队列GEO回末测序数据整理!H242))="not ibd","Not IBD",TRIM(RISK进展队列GEO回末测序数据整理!H242))</f>
        <v>UC</v>
      </c>
      <c r="T243" s="22" t="str">
        <f>IF(RISK进展队列GEO回末测序数据整理!D242="女","女性",IF(RISK进展队列GEO回末测序数据整理!D242="男","男性",TRIM(RISK进展队列GEO回末测序数据整理!D242)))</f>
        <v>女性</v>
      </c>
      <c r="U243" s="22">
        <f>RISK进展队列GEO回末测序数据整理!E242</f>
        <v>12</v>
      </c>
      <c r="V243" s="22" t="str">
        <f>RISK进展队列GEO回末测序数据整理!F242</f>
        <v>A1b</v>
      </c>
      <c r="W243" s="22" t="str">
        <f>IF(RISK进展队列GEO回末测序数据整理!I242="Macroscopic inflammation","Macro",IF(RISK进展队列GEO回末测序数据整理!I242="Microscopic inflammation","Micro",TRIM(RISK进展队列GEO回末测序数据整理!I242)))</f>
        <v>NA</v>
      </c>
      <c r="X243" s="22" t="str">
        <f>IF(RISK进展队列GEO回末测序数据整理!J242=1,"Yes",IF(RISK进展队列GEO回末测序数据整理!J242=0,"No","N/A"))</f>
        <v>N/A</v>
      </c>
      <c r="Y243" s="22">
        <f>IF(Q243="","",IF(COUNTIF($Q$3:Q243,Q243)=1,1,0))</f>
        <v>1</v>
      </c>
      <c r="Z243" s="22">
        <f>IF(Q243="","",IF(COUNTIFS($Q$3:Q243,Q243,$R$3:R243,R243)=1,1,0))</f>
        <v>1</v>
      </c>
    </row>
    <row r="244" spans="16:26" x14ac:dyDescent="0.4">
      <c r="P244" s="22" t="str">
        <f>RISK进展队列GEO回末测序数据整理!A243</f>
        <v>GSM1598649</v>
      </c>
      <c r="Q244" s="22" t="str">
        <f>RISK进展队列GEO回末测序数据整理!B243</f>
        <v>CCFA_Risk_242</v>
      </c>
      <c r="R244" s="22" t="str">
        <f>IF(LOWER(TRIM(RISK进展队列GEO回末测序数据整理!G243))="not ibd","Not IBD",TRIM(RISK进展队列GEO回末测序数据整理!G243))</f>
        <v>UC</v>
      </c>
      <c r="S244" s="22" t="str">
        <f>IF(LOWER(TRIM(RISK进展队列GEO回末测序数据整理!H243))="not ibd","Not IBD",TRIM(RISK进展队列GEO回末测序数据整理!H243))</f>
        <v>UC</v>
      </c>
      <c r="T244" s="22" t="str">
        <f>IF(RISK进展队列GEO回末测序数据整理!D243="女","女性",IF(RISK进展队列GEO回末测序数据整理!D243="男","男性",TRIM(RISK进展队列GEO回末测序数据整理!D243)))</f>
        <v>男性</v>
      </c>
      <c r="U244" s="22">
        <f>RISK进展队列GEO回末测序数据整理!E243</f>
        <v>13.25</v>
      </c>
      <c r="V244" s="22" t="str">
        <f>RISK进展队列GEO回末测序数据整理!F243</f>
        <v>A1b</v>
      </c>
      <c r="W244" s="22" t="str">
        <f>IF(RISK进展队列GEO回末测序数据整理!I243="Macroscopic inflammation","Macro",IF(RISK进展队列GEO回末测序数据整理!I243="Microscopic inflammation","Micro",TRIM(RISK进展队列GEO回末测序数据整理!I243)))</f>
        <v>NA</v>
      </c>
      <c r="X244" s="22" t="str">
        <f>IF(RISK进展队列GEO回末测序数据整理!J243=1,"Yes",IF(RISK进展队列GEO回末测序数据整理!J243=0,"No","N/A"))</f>
        <v>N/A</v>
      </c>
      <c r="Y244" s="22">
        <f>IF(Q244="","",IF(COUNTIF($Q$3:Q244,Q244)=1,1,0))</f>
        <v>1</v>
      </c>
      <c r="Z244" s="22">
        <f>IF(Q244="","",IF(COUNTIFS($Q$3:Q244,Q244,$R$3:R244,R244)=1,1,0))</f>
        <v>1</v>
      </c>
    </row>
    <row r="245" spans="16:26" x14ac:dyDescent="0.4">
      <c r="P245" s="22" t="str">
        <f>RISK进展队列GEO回末测序数据整理!A244</f>
        <v>GSM1598650</v>
      </c>
      <c r="Q245" s="22" t="str">
        <f>RISK进展队列GEO回末测序数据整理!B244</f>
        <v>CCFA_Risk_243</v>
      </c>
      <c r="R245" s="22" t="str">
        <f>IF(LOWER(TRIM(RISK进展队列GEO回末测序数据整理!G244))="not ibd","Not IBD",TRIM(RISK进展队列GEO回末测序数据整理!G244))</f>
        <v>UC</v>
      </c>
      <c r="S245" s="22" t="str">
        <f>IF(LOWER(TRIM(RISK进展队列GEO回末测序数据整理!H244))="not ibd","Not IBD",TRIM(RISK进展队列GEO回末测序数据整理!H244))</f>
        <v>UC</v>
      </c>
      <c r="T245" s="22" t="str">
        <f>IF(RISK进展队列GEO回末测序数据整理!D244="女","女性",IF(RISK进展队列GEO回末测序数据整理!D244="男","男性",TRIM(RISK进展队列GEO回末测序数据整理!D244)))</f>
        <v>男性</v>
      </c>
      <c r="U245" s="22">
        <f>RISK进展队列GEO回末测序数据整理!E244</f>
        <v>11.58</v>
      </c>
      <c r="V245" s="22" t="str">
        <f>RISK进展队列GEO回末测序数据整理!F244</f>
        <v>A1b</v>
      </c>
      <c r="W245" s="22" t="str">
        <f>IF(RISK进展队列GEO回末测序数据整理!I244="Macroscopic inflammation","Macro",IF(RISK进展队列GEO回末测序数据整理!I244="Microscopic inflammation","Micro",TRIM(RISK进展队列GEO回末测序数据整理!I244)))</f>
        <v>NA</v>
      </c>
      <c r="X245" s="22" t="str">
        <f>IF(RISK进展队列GEO回末测序数据整理!J244=1,"Yes",IF(RISK进展队列GEO回末测序数据整理!J244=0,"No","N/A"))</f>
        <v>N/A</v>
      </c>
      <c r="Y245" s="22">
        <f>IF(Q245="","",IF(COUNTIF($Q$3:Q245,Q245)=1,1,0))</f>
        <v>1</v>
      </c>
      <c r="Z245" s="22">
        <f>IF(Q245="","",IF(COUNTIFS($Q$3:Q245,Q245,$R$3:R245,R245)=1,1,0))</f>
        <v>1</v>
      </c>
    </row>
    <row r="246" spans="16:26" x14ac:dyDescent="0.4">
      <c r="P246" s="22" t="str">
        <f>RISK进展队列GEO回末测序数据整理!A245</f>
        <v>GSM1598651</v>
      </c>
      <c r="Q246" s="22" t="str">
        <f>RISK进展队列GEO回末测序数据整理!B245</f>
        <v>CCFA_Risk_244</v>
      </c>
      <c r="R246" s="22" t="str">
        <f>IF(LOWER(TRIM(RISK进展队列GEO回末测序数据整理!G245))="not ibd","Not IBD",TRIM(RISK进展队列GEO回末测序数据整理!G245))</f>
        <v>UC</v>
      </c>
      <c r="S246" s="22" t="str">
        <f>IF(LOWER(TRIM(RISK进展队列GEO回末测序数据整理!H245))="not ibd","Not IBD",TRIM(RISK进展队列GEO回末测序数据整理!H245))</f>
        <v>UC</v>
      </c>
      <c r="T246" s="22" t="str">
        <f>IF(RISK进展队列GEO回末测序数据整理!D245="女","女性",IF(RISK进展队列GEO回末测序数据整理!D245="男","男性",TRIM(RISK进展队列GEO回末测序数据整理!D245)))</f>
        <v>女性</v>
      </c>
      <c r="U246" s="22">
        <f>RISK进展队列GEO回末测序数据整理!E245</f>
        <v>15.58</v>
      </c>
      <c r="V246" s="22" t="str">
        <f>RISK进展队列GEO回末测序数据整理!F245</f>
        <v>A1b</v>
      </c>
      <c r="W246" s="22" t="str">
        <f>IF(RISK进展队列GEO回末测序数据整理!I245="Macroscopic inflammation","Macro",IF(RISK进展队列GEO回末测序数据整理!I245="Microscopic inflammation","Micro",TRIM(RISK进展队列GEO回末测序数据整理!I245)))</f>
        <v>NA</v>
      </c>
      <c r="X246" s="22" t="str">
        <f>IF(RISK进展队列GEO回末测序数据整理!J245=1,"Yes",IF(RISK进展队列GEO回末测序数据整理!J245=0,"No","N/A"))</f>
        <v>N/A</v>
      </c>
      <c r="Y246" s="22">
        <f>IF(Q246="","",IF(COUNTIF($Q$3:Q246,Q246)=1,1,0))</f>
        <v>1</v>
      </c>
      <c r="Z246" s="22">
        <f>IF(Q246="","",IF(COUNTIFS($Q$3:Q246,Q246,$R$3:R246,R246)=1,1,0))</f>
        <v>1</v>
      </c>
    </row>
    <row r="247" spans="16:26" x14ac:dyDescent="0.4">
      <c r="P247" s="22" t="str">
        <f>RISK进展队列GEO回末测序数据整理!A246</f>
        <v>GSM1598652</v>
      </c>
      <c r="Q247" s="22" t="str">
        <f>RISK进展队列GEO回末测序数据整理!B246</f>
        <v>CCFA_Risk_245</v>
      </c>
      <c r="R247" s="22" t="str">
        <f>IF(LOWER(TRIM(RISK进展队列GEO回末测序数据整理!G246))="not ibd","Not IBD",TRIM(RISK进展队列GEO回末测序数据整理!G246))</f>
        <v>UC</v>
      </c>
      <c r="S247" s="22" t="str">
        <f>IF(LOWER(TRIM(RISK进展队列GEO回末测序数据整理!H246))="not ibd","Not IBD",TRIM(RISK进展队列GEO回末测序数据整理!H246))</f>
        <v>UC</v>
      </c>
      <c r="T247" s="22" t="str">
        <f>IF(RISK进展队列GEO回末测序数据整理!D246="女","女性",IF(RISK进展队列GEO回末测序数据整理!D246="男","男性",TRIM(RISK进展队列GEO回末测序数据整理!D246)))</f>
        <v>女性</v>
      </c>
      <c r="U247" s="22">
        <f>RISK进展队列GEO回末测序数据整理!E246</f>
        <v>14.92</v>
      </c>
      <c r="V247" s="22" t="str">
        <f>RISK进展队列GEO回末测序数据整理!F246</f>
        <v>A1b</v>
      </c>
      <c r="W247" s="22" t="str">
        <f>IF(RISK进展队列GEO回末测序数据整理!I246="Macroscopic inflammation","Macro",IF(RISK进展队列GEO回末测序数据整理!I246="Microscopic inflammation","Micro",TRIM(RISK进展队列GEO回末测序数据整理!I246)))</f>
        <v>NA</v>
      </c>
      <c r="X247" s="22" t="str">
        <f>IF(RISK进展队列GEO回末测序数据整理!J246=1,"Yes",IF(RISK进展队列GEO回末测序数据整理!J246=0,"No","N/A"))</f>
        <v>N/A</v>
      </c>
      <c r="Y247" s="22">
        <f>IF(Q247="","",IF(COUNTIF($Q$3:Q247,Q247)=1,1,0))</f>
        <v>1</v>
      </c>
      <c r="Z247" s="22">
        <f>IF(Q247="","",IF(COUNTIFS($Q$3:Q247,Q247,$R$3:R247,R247)=1,1,0))</f>
        <v>1</v>
      </c>
    </row>
    <row r="248" spans="16:26" x14ac:dyDescent="0.4">
      <c r="P248" s="22" t="str">
        <f>RISK进展队列GEO回末测序数据整理!A247</f>
        <v>GSM1598653</v>
      </c>
      <c r="Q248" s="22" t="str">
        <f>RISK进展队列GEO回末测序数据整理!B247</f>
        <v>CCFA_Risk_246</v>
      </c>
      <c r="R248" s="22" t="str">
        <f>IF(LOWER(TRIM(RISK进展队列GEO回末测序数据整理!G247))="not ibd","Not IBD",TRIM(RISK进展队列GEO回末测序数据整理!G247))</f>
        <v>UC</v>
      </c>
      <c r="S248" s="22" t="str">
        <f>IF(LOWER(TRIM(RISK进展队列GEO回末测序数据整理!H247))="not ibd","Not IBD",TRIM(RISK进展队列GEO回末测序数据整理!H247))</f>
        <v>UC</v>
      </c>
      <c r="T248" s="22" t="str">
        <f>IF(RISK进展队列GEO回末测序数据整理!D247="女","女性",IF(RISK进展队列GEO回末测序数据整理!D247="男","男性",TRIM(RISK进展队列GEO回末测序数据整理!D247)))</f>
        <v>男性</v>
      </c>
      <c r="U248" s="22">
        <f>RISK进展队列GEO回末测序数据整理!E247</f>
        <v>14.92</v>
      </c>
      <c r="V248" s="22" t="str">
        <f>RISK进展队列GEO回末测序数据整理!F247</f>
        <v>A1b</v>
      </c>
      <c r="W248" s="22" t="str">
        <f>IF(RISK进展队列GEO回末测序数据整理!I247="Macroscopic inflammation","Macro",IF(RISK进展队列GEO回末测序数据整理!I247="Microscopic inflammation","Micro",TRIM(RISK进展队列GEO回末测序数据整理!I247)))</f>
        <v>NA</v>
      </c>
      <c r="X248" s="22" t="str">
        <f>IF(RISK进展队列GEO回末测序数据整理!J247=1,"Yes",IF(RISK进展队列GEO回末测序数据整理!J247=0,"No","N/A"))</f>
        <v>N/A</v>
      </c>
      <c r="Y248" s="22">
        <f>IF(Q248="","",IF(COUNTIF($Q$3:Q248,Q248)=1,1,0))</f>
        <v>1</v>
      </c>
      <c r="Z248" s="22">
        <f>IF(Q248="","",IF(COUNTIFS($Q$3:Q248,Q248,$R$3:R248,R248)=1,1,0))</f>
        <v>1</v>
      </c>
    </row>
    <row r="249" spans="16:26" x14ac:dyDescent="0.4">
      <c r="P249" s="22" t="str">
        <f>RISK进展队列GEO回末测序数据整理!A248</f>
        <v>GSM1598654</v>
      </c>
      <c r="Q249" s="22" t="str">
        <f>RISK进展队列GEO回末测序数据整理!B248</f>
        <v>CCFA_Risk_247</v>
      </c>
      <c r="R249" s="22" t="str">
        <f>IF(LOWER(TRIM(RISK进展队列GEO回末测序数据整理!G248))="not ibd","Not IBD",TRIM(RISK进展队列GEO回末测序数据整理!G248))</f>
        <v>UC</v>
      </c>
      <c r="S249" s="22" t="str">
        <f>IF(LOWER(TRIM(RISK进展队列GEO回末测序数据整理!H248))="not ibd","Not IBD",TRIM(RISK进展队列GEO回末测序数据整理!H248))</f>
        <v>UC</v>
      </c>
      <c r="T249" s="22" t="str">
        <f>IF(RISK进展队列GEO回末测序数据整理!D248="女","女性",IF(RISK进展队列GEO回末测序数据整理!D248="男","男性",TRIM(RISK进展队列GEO回末测序数据整理!D248)))</f>
        <v>女性</v>
      </c>
      <c r="U249" s="22">
        <f>RISK进展队列GEO回末测序数据整理!E248</f>
        <v>6.33</v>
      </c>
      <c r="V249" s="22" t="str">
        <f>RISK进展队列GEO回末测序数据整理!F248</f>
        <v>A1a</v>
      </c>
      <c r="W249" s="22" t="str">
        <f>IF(RISK进展队列GEO回末测序数据整理!I248="Macroscopic inflammation","Macro",IF(RISK进展队列GEO回末测序数据整理!I248="Microscopic inflammation","Micro",TRIM(RISK进展队列GEO回末测序数据整理!I248)))</f>
        <v>NA</v>
      </c>
      <c r="X249" s="22" t="str">
        <f>IF(RISK进展队列GEO回末测序数据整理!J248=1,"Yes",IF(RISK进展队列GEO回末测序数据整理!J248=0,"No","N/A"))</f>
        <v>N/A</v>
      </c>
      <c r="Y249" s="22">
        <f>IF(Q249="","",IF(COUNTIF($Q$3:Q249,Q249)=1,1,0))</f>
        <v>1</v>
      </c>
      <c r="Z249" s="22">
        <f>IF(Q249="","",IF(COUNTIFS($Q$3:Q249,Q249,$R$3:R249,R249)=1,1,0))</f>
        <v>1</v>
      </c>
    </row>
    <row r="250" spans="16:26" x14ac:dyDescent="0.4">
      <c r="P250" s="22" t="str">
        <f>RISK进展队列GEO回末测序数据整理!A249</f>
        <v>GSM1598655</v>
      </c>
      <c r="Q250" s="22" t="str">
        <f>RISK进展队列GEO回末测序数据整理!B249</f>
        <v>CCFA_Risk_248</v>
      </c>
      <c r="R250" s="22" t="str">
        <f>IF(LOWER(TRIM(RISK进展队列GEO回末测序数据整理!G249))="not ibd","Not IBD",TRIM(RISK进展队列GEO回末测序数据整理!G249))</f>
        <v>UC</v>
      </c>
      <c r="S250" s="22" t="str">
        <f>IF(LOWER(TRIM(RISK进展队列GEO回末测序数据整理!H249))="not ibd","Not IBD",TRIM(RISK进展队列GEO回末测序数据整理!H249))</f>
        <v>UC</v>
      </c>
      <c r="T250" s="22" t="str">
        <f>IF(RISK进展队列GEO回末测序数据整理!D249="女","女性",IF(RISK进展队列GEO回末测序数据整理!D249="男","男性",TRIM(RISK进展队列GEO回末测序数据整理!D249)))</f>
        <v>女性</v>
      </c>
      <c r="U250" s="22">
        <f>RISK进展队列GEO回末测序数据整理!E249</f>
        <v>13.67</v>
      </c>
      <c r="V250" s="22" t="str">
        <f>RISK进展队列GEO回末测序数据整理!F249</f>
        <v>A1b</v>
      </c>
      <c r="W250" s="22" t="str">
        <f>IF(RISK进展队列GEO回末测序数据整理!I249="Macroscopic inflammation","Macro",IF(RISK进展队列GEO回末测序数据整理!I249="Microscopic inflammation","Micro",TRIM(RISK进展队列GEO回末测序数据整理!I249)))</f>
        <v>NA</v>
      </c>
      <c r="X250" s="22" t="str">
        <f>IF(RISK进展队列GEO回末测序数据整理!J249=1,"Yes",IF(RISK进展队列GEO回末测序数据整理!J249=0,"No","N/A"))</f>
        <v>N/A</v>
      </c>
      <c r="Y250" s="22">
        <f>IF(Q250="","",IF(COUNTIF($Q$3:Q250,Q250)=1,1,0))</f>
        <v>1</v>
      </c>
      <c r="Z250" s="22">
        <f>IF(Q250="","",IF(COUNTIFS($Q$3:Q250,Q250,$R$3:R250,R250)=1,1,0))</f>
        <v>1</v>
      </c>
    </row>
    <row r="251" spans="16:26" x14ac:dyDescent="0.4">
      <c r="P251" s="22" t="str">
        <f>RISK进展队列GEO回末测序数据整理!A250</f>
        <v>GSM1598656</v>
      </c>
      <c r="Q251" s="22" t="str">
        <f>RISK进展队列GEO回末测序数据整理!B250</f>
        <v>CCFA_Risk_249</v>
      </c>
      <c r="R251" s="22" t="str">
        <f>IF(LOWER(TRIM(RISK进展队列GEO回末测序数据整理!G250))="not ibd","Not IBD",TRIM(RISK进展队列GEO回末测序数据整理!G250))</f>
        <v>UC</v>
      </c>
      <c r="S251" s="22" t="str">
        <f>IF(LOWER(TRIM(RISK进展队列GEO回末测序数据整理!H250))="not ibd","Not IBD",TRIM(RISK进展队列GEO回末测序数据整理!H250))</f>
        <v>UC</v>
      </c>
      <c r="T251" s="22" t="str">
        <f>IF(RISK进展队列GEO回末测序数据整理!D250="女","女性",IF(RISK进展队列GEO回末测序数据整理!D250="男","男性",TRIM(RISK进展队列GEO回末测序数据整理!D250)))</f>
        <v>女性</v>
      </c>
      <c r="U251" s="22">
        <f>RISK进展队列GEO回末测序数据整理!E250</f>
        <v>16.920000000000002</v>
      </c>
      <c r="V251" s="22" t="str">
        <f>RISK进展队列GEO回末测序数据整理!F250</f>
        <v>A1b</v>
      </c>
      <c r="W251" s="22" t="str">
        <f>IF(RISK进展队列GEO回末测序数据整理!I250="Macroscopic inflammation","Macro",IF(RISK进展队列GEO回末测序数据整理!I250="Microscopic inflammation","Micro",TRIM(RISK进展队列GEO回末测序数据整理!I250)))</f>
        <v>NA</v>
      </c>
      <c r="X251" s="22" t="str">
        <f>IF(RISK进展队列GEO回末测序数据整理!J250=1,"Yes",IF(RISK进展队列GEO回末测序数据整理!J250=0,"No","N/A"))</f>
        <v>N/A</v>
      </c>
      <c r="Y251" s="22">
        <f>IF(Q251="","",IF(COUNTIF($Q$3:Q251,Q251)=1,1,0))</f>
        <v>1</v>
      </c>
      <c r="Z251" s="22">
        <f>IF(Q251="","",IF(COUNTIFS($Q$3:Q251,Q251,$R$3:R251,R251)=1,1,0))</f>
        <v>1</v>
      </c>
    </row>
    <row r="252" spans="16:26" x14ac:dyDescent="0.4">
      <c r="P252" s="22" t="str">
        <f>RISK进展队列GEO回末测序数据整理!A251</f>
        <v>GSM1598657</v>
      </c>
      <c r="Q252" s="22" t="str">
        <f>RISK进展队列GEO回末测序数据整理!B251</f>
        <v>CCFA_Risk_250</v>
      </c>
      <c r="R252" s="22" t="str">
        <f>IF(LOWER(TRIM(RISK进展队列GEO回末测序数据整理!G251))="not ibd","Not IBD",TRIM(RISK进展队列GEO回末测序数据整理!G251))</f>
        <v>UC</v>
      </c>
      <c r="S252" s="22" t="str">
        <f>IF(LOWER(TRIM(RISK进展队列GEO回末测序数据整理!H251))="not ibd","Not IBD",TRIM(RISK进展队列GEO回末测序数据整理!H251))</f>
        <v>UC</v>
      </c>
      <c r="T252" s="22" t="str">
        <f>IF(RISK进展队列GEO回末测序数据整理!D251="女","女性",IF(RISK进展队列GEO回末测序数据整理!D251="男","男性",TRIM(RISK进展队列GEO回末测序数据整理!D251)))</f>
        <v>男性</v>
      </c>
      <c r="U252" s="22">
        <f>RISK进展队列GEO回末测序数据整理!E251</f>
        <v>6.92</v>
      </c>
      <c r="V252" s="22" t="str">
        <f>RISK进展队列GEO回末测序数据整理!F251</f>
        <v>A1a</v>
      </c>
      <c r="W252" s="22" t="str">
        <f>IF(RISK进展队列GEO回末测序数据整理!I251="Macroscopic inflammation","Macro",IF(RISK进展队列GEO回末测序数据整理!I251="Microscopic inflammation","Micro",TRIM(RISK进展队列GEO回末测序数据整理!I251)))</f>
        <v>NA</v>
      </c>
      <c r="X252" s="22" t="str">
        <f>IF(RISK进展队列GEO回末测序数据整理!J251=1,"Yes",IF(RISK进展队列GEO回末测序数据整理!J251=0,"No","N/A"))</f>
        <v>N/A</v>
      </c>
      <c r="Y252" s="22">
        <f>IF(Q252="","",IF(COUNTIF($Q$3:Q252,Q252)=1,1,0))</f>
        <v>1</v>
      </c>
      <c r="Z252" s="22">
        <f>IF(Q252="","",IF(COUNTIFS($Q$3:Q252,Q252,$R$3:R252,R252)=1,1,0))</f>
        <v>1</v>
      </c>
    </row>
    <row r="253" spans="16:26" x14ac:dyDescent="0.4">
      <c r="P253" s="22" t="str">
        <f>RISK进展队列GEO回末测序数据整理!A252</f>
        <v>GSM1598658</v>
      </c>
      <c r="Q253" s="22" t="str">
        <f>RISK进展队列GEO回末测序数据整理!B252</f>
        <v>CCFA_Risk_251</v>
      </c>
      <c r="R253" s="22" t="str">
        <f>IF(LOWER(TRIM(RISK进展队列GEO回末测序数据整理!G252))="not ibd","Not IBD",TRIM(RISK进展队列GEO回末测序数据整理!G252))</f>
        <v>UC</v>
      </c>
      <c r="S253" s="22" t="str">
        <f>IF(LOWER(TRIM(RISK进展队列GEO回末测序数据整理!H252))="not ibd","Not IBD",TRIM(RISK进展队列GEO回末测序数据整理!H252))</f>
        <v>UC</v>
      </c>
      <c r="T253" s="22" t="str">
        <f>IF(RISK进展队列GEO回末测序数据整理!D252="女","女性",IF(RISK进展队列GEO回末测序数据整理!D252="男","男性",TRIM(RISK进展队列GEO回末测序数据整理!D252)))</f>
        <v>女性</v>
      </c>
      <c r="U253" s="22">
        <f>RISK进展队列GEO回末测序数据整理!E252</f>
        <v>16.829999999999998</v>
      </c>
      <c r="V253" s="22" t="str">
        <f>RISK进展队列GEO回末测序数据整理!F252</f>
        <v>A1b</v>
      </c>
      <c r="W253" s="22" t="str">
        <f>IF(RISK进展队列GEO回末测序数据整理!I252="Macroscopic inflammation","Macro",IF(RISK进展队列GEO回末测序数据整理!I252="Microscopic inflammation","Micro",TRIM(RISK进展队列GEO回末测序数据整理!I252)))</f>
        <v>NA</v>
      </c>
      <c r="X253" s="22" t="str">
        <f>IF(RISK进展队列GEO回末测序数据整理!J252=1,"Yes",IF(RISK进展队列GEO回末测序数据整理!J252=0,"No","N/A"))</f>
        <v>N/A</v>
      </c>
      <c r="Y253" s="22">
        <f>IF(Q253="","",IF(COUNTIF($Q$3:Q253,Q253)=1,1,0))</f>
        <v>1</v>
      </c>
      <c r="Z253" s="22">
        <f>IF(Q253="","",IF(COUNTIFS($Q$3:Q253,Q253,$R$3:R253,R253)=1,1,0))</f>
        <v>1</v>
      </c>
    </row>
    <row r="254" spans="16:26" x14ac:dyDescent="0.4">
      <c r="P254" s="22" t="str">
        <f>RISK进展队列GEO回末测序数据整理!A253</f>
        <v>GSM1598659</v>
      </c>
      <c r="Q254" s="22" t="str">
        <f>RISK进展队列GEO回末测序数据整理!B253</f>
        <v>CCFA_Risk_252</v>
      </c>
      <c r="R254" s="22" t="str">
        <f>IF(LOWER(TRIM(RISK进展队列GEO回末测序数据整理!G253))="not ibd","Not IBD",TRIM(RISK进展队列GEO回末测序数据整理!G253))</f>
        <v>CD</v>
      </c>
      <c r="S254" s="22" t="str">
        <f>IF(LOWER(TRIM(RISK进展队列GEO回末测序数据整理!H253))="not ibd","Not IBD",TRIM(RISK进展队列GEO回末测序数据整理!H253))</f>
        <v>iCD</v>
      </c>
      <c r="T254" s="22" t="str">
        <f>IF(RISK进展队列GEO回末测序数据整理!D253="女","女性",IF(RISK进展队列GEO回末测序数据整理!D253="男","男性",TRIM(RISK进展队列GEO回末测序数据整理!D253)))</f>
        <v>女性</v>
      </c>
      <c r="U254" s="22">
        <f>RISK进展队列GEO回末测序数据整理!E253</f>
        <v>14.92</v>
      </c>
      <c r="V254" s="22" t="str">
        <f>RISK进展队列GEO回末测序数据整理!F253</f>
        <v>A1b</v>
      </c>
      <c r="W254" s="22" t="str">
        <f>IF(RISK进展队列GEO回末测序数据整理!I253="Macroscopic inflammation","Macro",IF(RISK进展队列GEO回末测序数据整理!I253="Microscopic inflammation","Micro",TRIM(RISK进展队列GEO回末测序数据整理!I253)))</f>
        <v>Macro</v>
      </c>
      <c r="X254" s="22" t="str">
        <f>IF(RISK进展队列GEO回末测序数据整理!J253=1,"Yes",IF(RISK进展队列GEO回末测序数据整理!J253=0,"No","N/A"))</f>
        <v>Yes</v>
      </c>
      <c r="Y254" s="22">
        <f>IF(Q254="","",IF(COUNTIF($Q$3:Q254,Q254)=1,1,0))</f>
        <v>1</v>
      </c>
      <c r="Z254" s="22">
        <f>IF(Q254="","",IF(COUNTIFS($Q$3:Q254,Q254,$R$3:R254,R254)=1,1,0))</f>
        <v>1</v>
      </c>
    </row>
    <row r="255" spans="16:26" x14ac:dyDescent="0.4">
      <c r="P255" s="22" t="str">
        <f>RISK进展队列GEO回末测序数据整理!A254</f>
        <v>GSM1598660</v>
      </c>
      <c r="Q255" s="22" t="str">
        <f>RISK进展队列GEO回末测序数据整理!B254</f>
        <v>CCFA_Risk_253</v>
      </c>
      <c r="R255" s="22" t="str">
        <f>IF(LOWER(TRIM(RISK进展队列GEO回末测序数据整理!G254))="not ibd","Not IBD",TRIM(RISK进展队列GEO回末测序数据整理!G254))</f>
        <v>CD</v>
      </c>
      <c r="S255" s="22" t="str">
        <f>IF(LOWER(TRIM(RISK进展队列GEO回末测序数据整理!H254))="not ibd","Not IBD",TRIM(RISK进展队列GEO回末测序数据整理!H254))</f>
        <v>cCD</v>
      </c>
      <c r="T255" s="22" t="str">
        <f>IF(RISK进展队列GEO回末测序数据整理!D254="女","女性",IF(RISK进展队列GEO回末测序数据整理!D254="男","男性",TRIM(RISK进展队列GEO回末测序数据整理!D254)))</f>
        <v>男性</v>
      </c>
      <c r="U255" s="22">
        <f>RISK进展队列GEO回末测序数据整理!E254</f>
        <v>15.08</v>
      </c>
      <c r="V255" s="22" t="str">
        <f>RISK进展队列GEO回末测序数据整理!F254</f>
        <v>A1b</v>
      </c>
      <c r="W255" s="22" t="str">
        <f>IF(RISK进展队列GEO回末测序数据整理!I254="Macroscopic inflammation","Macro",IF(RISK进展队列GEO回末测序数据整理!I254="Microscopic inflammation","Micro",TRIM(RISK进展队列GEO回末测序数据整理!I254)))</f>
        <v>Normal</v>
      </c>
      <c r="X255" s="22" t="str">
        <f>IF(RISK进展队列GEO回末测序数据整理!J254=1,"Yes",IF(RISK进展队列GEO回末测序数据整理!J254=0,"No","N/A"))</f>
        <v>No</v>
      </c>
      <c r="Y255" s="22">
        <f>IF(Q255="","",IF(COUNTIF($Q$3:Q255,Q255)=1,1,0))</f>
        <v>1</v>
      </c>
      <c r="Z255" s="22">
        <f>IF(Q255="","",IF(COUNTIFS($Q$3:Q255,Q255,$R$3:R255,R255)=1,1,0))</f>
        <v>1</v>
      </c>
    </row>
    <row r="256" spans="16:26" x14ac:dyDescent="0.4">
      <c r="P256" s="22" t="str">
        <f>RISK进展队列GEO回末测序数据整理!A255</f>
        <v>GSM1598661</v>
      </c>
      <c r="Q256" s="22" t="str">
        <f>RISK进展队列GEO回末测序数据整理!B255</f>
        <v>CCFA_Risk_254</v>
      </c>
      <c r="R256" s="22" t="str">
        <f>IF(LOWER(TRIM(RISK进展队列GEO回末测序数据整理!G255))="not ibd","Not IBD",TRIM(RISK进展队列GEO回末测序数据整理!G255))</f>
        <v>CD</v>
      </c>
      <c r="S256" s="22" t="str">
        <f>IF(LOWER(TRIM(RISK进展队列GEO回末测序数据整理!H255))="not ibd","Not IBD",TRIM(RISK进展队列GEO回末测序数据整理!H255))</f>
        <v>iCD</v>
      </c>
      <c r="T256" s="22" t="str">
        <f>IF(RISK进展队列GEO回末测序数据整理!D255="女","女性",IF(RISK进展队列GEO回末测序数据整理!D255="男","男性",TRIM(RISK进展队列GEO回末测序数据整理!D255)))</f>
        <v>女性</v>
      </c>
      <c r="U256" s="22">
        <f>RISK进展队列GEO回末测序数据整理!E255</f>
        <v>13.17</v>
      </c>
      <c r="V256" s="22" t="str">
        <f>RISK进展队列GEO回末测序数据整理!F255</f>
        <v>A1b</v>
      </c>
      <c r="W256" s="22" t="str">
        <f>IF(RISK进展队列GEO回末测序数据整理!I255="Macroscopic inflammation","Macro",IF(RISK进展队列GEO回末测序数据整理!I255="Microscopic inflammation","Micro",TRIM(RISK进展队列GEO回末测序数据整理!I255)))</f>
        <v>Macro</v>
      </c>
      <c r="X256" s="22" t="str">
        <f>IF(RISK进展队列GEO回末测序数据整理!J255=1,"Yes",IF(RISK进展队列GEO回末测序数据整理!J255=0,"No","N/A"))</f>
        <v>Yes</v>
      </c>
      <c r="Y256" s="22">
        <f>IF(Q256="","",IF(COUNTIF($Q$3:Q256,Q256)=1,1,0))</f>
        <v>1</v>
      </c>
      <c r="Z256" s="22">
        <f>IF(Q256="","",IF(COUNTIFS($Q$3:Q256,Q256,$R$3:R256,R256)=1,1,0))</f>
        <v>1</v>
      </c>
    </row>
    <row r="257" spans="16:26" x14ac:dyDescent="0.4">
      <c r="P257" s="22" t="str">
        <f>RISK进展队列GEO回末测序数据整理!A256</f>
        <v>GSM1598662</v>
      </c>
      <c r="Q257" s="22" t="str">
        <f>RISK进展队列GEO回末测序数据整理!B256</f>
        <v>CCFA_Risk_255</v>
      </c>
      <c r="R257" s="22" t="str">
        <f>IF(LOWER(TRIM(RISK进展队列GEO回末测序数据整理!G256))="not ibd","Not IBD",TRIM(RISK进展队列GEO回末测序数据整理!G256))</f>
        <v>CD</v>
      </c>
      <c r="S257" s="22" t="str">
        <f>IF(LOWER(TRIM(RISK进展队列GEO回末测序数据整理!H256))="not ibd","Not IBD",TRIM(RISK进展队列GEO回末测序数据整理!H256))</f>
        <v>iCD</v>
      </c>
      <c r="T257" s="22" t="str">
        <f>IF(RISK进展队列GEO回末测序数据整理!D256="女","女性",IF(RISK进展队列GEO回末测序数据整理!D256="男","男性",TRIM(RISK进展队列GEO回末测序数据整理!D256)))</f>
        <v>男性</v>
      </c>
      <c r="U257" s="22">
        <f>RISK进展队列GEO回末测序数据整理!E256</f>
        <v>14.42</v>
      </c>
      <c r="V257" s="22" t="str">
        <f>RISK进展队列GEO回末测序数据整理!F256</f>
        <v>A1b</v>
      </c>
      <c r="W257" s="22" t="str">
        <f>IF(RISK进展队列GEO回末测序数据整理!I256="Macroscopic inflammation","Macro",IF(RISK进展队列GEO回末测序数据整理!I256="Microscopic inflammation","Micro",TRIM(RISK进展队列GEO回末测序数据整理!I256)))</f>
        <v>Macro</v>
      </c>
      <c r="X257" s="22" t="str">
        <f>IF(RISK进展队列GEO回末测序数据整理!J256=1,"Yes",IF(RISK进展队列GEO回末测序数据整理!J256=0,"No","N/A"))</f>
        <v>Yes</v>
      </c>
      <c r="Y257" s="22">
        <f>IF(Q257="","",IF(COUNTIF($Q$3:Q257,Q257)=1,1,0))</f>
        <v>1</v>
      </c>
      <c r="Z257" s="22">
        <f>IF(Q257="","",IF(COUNTIFS($Q$3:Q257,Q257,$R$3:R257,R257)=1,1,0))</f>
        <v>1</v>
      </c>
    </row>
    <row r="258" spans="16:26" x14ac:dyDescent="0.4">
      <c r="P258" s="22" t="str">
        <f>RISK进展队列GEO回末测序数据整理!A257</f>
        <v>GSM1598663</v>
      </c>
      <c r="Q258" s="22" t="str">
        <f>RISK进展队列GEO回末测序数据整理!B257</f>
        <v>CCFA_Risk_256</v>
      </c>
      <c r="R258" s="22" t="str">
        <f>IF(LOWER(TRIM(RISK进展队列GEO回末测序数据整理!G257))="not ibd","Not IBD",TRIM(RISK进展队列GEO回末测序数据整理!G257))</f>
        <v>CD</v>
      </c>
      <c r="S258" s="22" t="str">
        <f>IF(LOWER(TRIM(RISK进展队列GEO回末测序数据整理!H257))="not ibd","Not IBD",TRIM(RISK进展队列GEO回末测序数据整理!H257))</f>
        <v>iCD</v>
      </c>
      <c r="T258" s="22" t="str">
        <f>IF(RISK进展队列GEO回末测序数据整理!D257="女","女性",IF(RISK进展队列GEO回末测序数据整理!D257="男","男性",TRIM(RISK进展队列GEO回末测序数据整理!D257)))</f>
        <v>女性</v>
      </c>
      <c r="U258" s="22">
        <f>RISK进展队列GEO回末测序数据整理!E257</f>
        <v>12.83</v>
      </c>
      <c r="V258" s="22" t="str">
        <f>RISK进展队列GEO回末测序数据整理!F257</f>
        <v>A1b</v>
      </c>
      <c r="W258" s="22" t="str">
        <f>IF(RISK进展队列GEO回末测序数据整理!I257="Macroscopic inflammation","Macro",IF(RISK进展队列GEO回末测序数据整理!I257="Microscopic inflammation","Micro",TRIM(RISK进展队列GEO回末测序数据整理!I257)))</f>
        <v>Macro</v>
      </c>
      <c r="X258" s="22" t="str">
        <f>IF(RISK进展队列GEO回末测序数据整理!J257=1,"Yes",IF(RISK进展队列GEO回末测序数据整理!J257=0,"No","N/A"))</f>
        <v>Yes</v>
      </c>
      <c r="Y258" s="22">
        <f>IF(Q258="","",IF(COUNTIF($Q$3:Q258,Q258)=1,1,0))</f>
        <v>1</v>
      </c>
      <c r="Z258" s="22">
        <f>IF(Q258="","",IF(COUNTIFS($Q$3:Q258,Q258,$R$3:R258,R258)=1,1,0))</f>
        <v>1</v>
      </c>
    </row>
    <row r="259" spans="16:26" x14ac:dyDescent="0.4">
      <c r="P259" s="22" t="str">
        <f>RISK进展队列GEO回末测序数据整理!A258</f>
        <v>GSM1598664</v>
      </c>
      <c r="Q259" s="22" t="str">
        <f>RISK进展队列GEO回末测序数据整理!B258</f>
        <v>CCFA_Risk_257</v>
      </c>
      <c r="R259" s="22" t="str">
        <f>IF(LOWER(TRIM(RISK进展队列GEO回末测序数据整理!G258))="not ibd","Not IBD",TRIM(RISK进展队列GEO回末测序数据整理!G258))</f>
        <v>CD</v>
      </c>
      <c r="S259" s="22" t="str">
        <f>IF(LOWER(TRIM(RISK进展队列GEO回末测序数据整理!H258))="not ibd","Not IBD",TRIM(RISK进展队列GEO回末测序数据整理!H258))</f>
        <v>iCD</v>
      </c>
      <c r="T259" s="22" t="str">
        <f>IF(RISK进展队列GEO回末测序数据整理!D258="女","女性",IF(RISK进展队列GEO回末测序数据整理!D258="男","男性",TRIM(RISK进展队列GEO回末测序数据整理!D258)))</f>
        <v>男性</v>
      </c>
      <c r="U259" s="22">
        <f>RISK进展队列GEO回末测序数据整理!E258</f>
        <v>11.42</v>
      </c>
      <c r="V259" s="22" t="str">
        <f>RISK进展队列GEO回末测序数据整理!F258</f>
        <v>A1b</v>
      </c>
      <c r="W259" s="22" t="str">
        <f>IF(RISK进展队列GEO回末测序数据整理!I258="Macroscopic inflammation","Macro",IF(RISK进展队列GEO回末测序数据整理!I258="Microscopic inflammation","Micro",TRIM(RISK进展队列GEO回末测序数据整理!I258)))</f>
        <v>Macro</v>
      </c>
      <c r="X259" s="22" t="str">
        <f>IF(RISK进展队列GEO回末测序数据整理!J258=1,"Yes",IF(RISK进展队列GEO回末测序数据整理!J258=0,"No","N/A"))</f>
        <v>Yes</v>
      </c>
      <c r="Y259" s="22">
        <f>IF(Q259="","",IF(COUNTIF($Q$3:Q259,Q259)=1,1,0))</f>
        <v>1</v>
      </c>
      <c r="Z259" s="22">
        <f>IF(Q259="","",IF(COUNTIFS($Q$3:Q259,Q259,$R$3:R259,R259)=1,1,0))</f>
        <v>1</v>
      </c>
    </row>
    <row r="260" spans="16:26" x14ac:dyDescent="0.4">
      <c r="P260" s="22" t="str">
        <f>RISK进展队列GEO回末测序数据整理!A259</f>
        <v>GSM1598665</v>
      </c>
      <c r="Q260" s="22" t="str">
        <f>RISK进展队列GEO回末测序数据整理!B259</f>
        <v>CCFA_Risk_258</v>
      </c>
      <c r="R260" s="22" t="str">
        <f>IF(LOWER(TRIM(RISK进展队列GEO回末测序数据整理!G259))="not ibd","Not IBD",TRIM(RISK进展队列GEO回末测序数据整理!G259))</f>
        <v>CD</v>
      </c>
      <c r="S260" s="22" t="str">
        <f>IF(LOWER(TRIM(RISK进展队列GEO回末测序数据整理!H259))="not ibd","Not IBD",TRIM(RISK进展队列GEO回末测序数据整理!H259))</f>
        <v>iCD</v>
      </c>
      <c r="T260" s="22" t="str">
        <f>IF(RISK进展队列GEO回末测序数据整理!D259="女","女性",IF(RISK进展队列GEO回末测序数据整理!D259="男","男性",TRIM(RISK进展队列GEO回末测序数据整理!D259)))</f>
        <v>男性</v>
      </c>
      <c r="U260" s="22">
        <f>RISK进展队列GEO回末测序数据整理!E259</f>
        <v>11.92</v>
      </c>
      <c r="V260" s="22" t="str">
        <f>RISK进展队列GEO回末测序数据整理!F259</f>
        <v>A1b</v>
      </c>
      <c r="W260" s="22" t="str">
        <f>IF(RISK进展队列GEO回末测序数据整理!I259="Macroscopic inflammation","Macro",IF(RISK进展队列GEO回末测序数据整理!I259="Microscopic inflammation","Micro",TRIM(RISK进展队列GEO回末测序数据整理!I259)))</f>
        <v>Macro</v>
      </c>
      <c r="X260" s="22" t="str">
        <f>IF(RISK进展队列GEO回末测序数据整理!J259=1,"Yes",IF(RISK进展队列GEO回末测序数据整理!J259=0,"No","N/A"))</f>
        <v>No</v>
      </c>
      <c r="Y260" s="22">
        <f>IF(Q260="","",IF(COUNTIF($Q$3:Q260,Q260)=1,1,0))</f>
        <v>1</v>
      </c>
      <c r="Z260" s="22">
        <f>IF(Q260="","",IF(COUNTIFS($Q$3:Q260,Q260,$R$3:R260,R260)=1,1,0))</f>
        <v>1</v>
      </c>
    </row>
    <row r="261" spans="16:26" x14ac:dyDescent="0.4">
      <c r="P261" s="22" t="str">
        <f>RISK进展队列GEO回末测序数据整理!A260</f>
        <v>GSM1598666</v>
      </c>
      <c r="Q261" s="22" t="str">
        <f>RISK进展队列GEO回末测序数据整理!B260</f>
        <v>CCFA_Risk_259</v>
      </c>
      <c r="R261" s="22" t="str">
        <f>IF(LOWER(TRIM(RISK进展队列GEO回末测序数据整理!G260))="not ibd","Not IBD",TRIM(RISK进展队列GEO回末测序数据整理!G260))</f>
        <v>CD</v>
      </c>
      <c r="S261" s="22" t="str">
        <f>IF(LOWER(TRIM(RISK进展队列GEO回末测序数据整理!H260))="not ibd","Not IBD",TRIM(RISK进展队列GEO回末测序数据整理!H260))</f>
        <v>iCD</v>
      </c>
      <c r="T261" s="22" t="str">
        <f>IF(RISK进展队列GEO回末测序数据整理!D260="女","女性",IF(RISK进展队列GEO回末测序数据整理!D260="男","男性",TRIM(RISK进展队列GEO回末测序数据整理!D260)))</f>
        <v>男性</v>
      </c>
      <c r="U261" s="22">
        <f>RISK进展队列GEO回末测序数据整理!E260</f>
        <v>16.25</v>
      </c>
      <c r="V261" s="22" t="str">
        <f>RISK进展队列GEO回末测序数据整理!F260</f>
        <v>A1b</v>
      </c>
      <c r="W261" s="22" t="str">
        <f>IF(RISK进展队列GEO回末测序数据整理!I260="Macroscopic inflammation","Macro",IF(RISK进展队列GEO回末测序数据整理!I260="Microscopic inflammation","Micro",TRIM(RISK进展队列GEO回末测序数据整理!I260)))</f>
        <v>Macro</v>
      </c>
      <c r="X261" s="22" t="str">
        <f>IF(RISK进展队列GEO回末测序数据整理!J260=1,"Yes",IF(RISK进展队列GEO回末测序数据整理!J260=0,"No","N/A"))</f>
        <v>Yes</v>
      </c>
      <c r="Y261" s="22">
        <f>IF(Q261="","",IF(COUNTIF($Q$3:Q261,Q261)=1,1,0))</f>
        <v>1</v>
      </c>
      <c r="Z261" s="22">
        <f>IF(Q261="","",IF(COUNTIFS($Q$3:Q261,Q261,$R$3:R261,R261)=1,1,0))</f>
        <v>1</v>
      </c>
    </row>
    <row r="262" spans="16:26" x14ac:dyDescent="0.4">
      <c r="P262" s="22" t="str">
        <f>RISK进展队列GEO回末测序数据整理!A261</f>
        <v>GSM1598667</v>
      </c>
      <c r="Q262" s="22" t="str">
        <f>RISK进展队列GEO回末测序数据整理!B261</f>
        <v>CCFA_Risk_260</v>
      </c>
      <c r="R262" s="22" t="str">
        <f>IF(LOWER(TRIM(RISK进展队列GEO回末测序数据整理!G261))="not ibd","Not IBD",TRIM(RISK进展队列GEO回末测序数据整理!G261))</f>
        <v>CD</v>
      </c>
      <c r="S262" s="22" t="str">
        <f>IF(LOWER(TRIM(RISK进展队列GEO回末测序数据整理!H261))="not ibd","Not IBD",TRIM(RISK进展队列GEO回末测序数据整理!H261))</f>
        <v>iCD</v>
      </c>
      <c r="T262" s="22" t="str">
        <f>IF(RISK进展队列GEO回末测序数据整理!D261="女","女性",IF(RISK进展队列GEO回末测序数据整理!D261="男","男性",TRIM(RISK进展队列GEO回末测序数据整理!D261)))</f>
        <v>男性</v>
      </c>
      <c r="U262" s="22">
        <f>RISK进展队列GEO回末测序数据整理!E261</f>
        <v>12.75</v>
      </c>
      <c r="V262" s="22" t="str">
        <f>RISK进展队列GEO回末测序数据整理!F261</f>
        <v>A1b</v>
      </c>
      <c r="W262" s="22" t="str">
        <f>IF(RISK进展队列GEO回末测序数据整理!I261="Macroscopic inflammation","Macro",IF(RISK进展队列GEO回末测序数据整理!I261="Microscopic inflammation","Micro",TRIM(RISK进展队列GEO回末测序数据整理!I261)))</f>
        <v>Macro</v>
      </c>
      <c r="X262" s="22" t="str">
        <f>IF(RISK进展队列GEO回末测序数据整理!J261=1,"Yes",IF(RISK进展队列GEO回末测序数据整理!J261=0,"No","N/A"))</f>
        <v>Yes</v>
      </c>
      <c r="Y262" s="22">
        <f>IF(Q262="","",IF(COUNTIF($Q$3:Q262,Q262)=1,1,0))</f>
        <v>1</v>
      </c>
      <c r="Z262" s="22">
        <f>IF(Q262="","",IF(COUNTIFS($Q$3:Q262,Q262,$R$3:R262,R262)=1,1,0))</f>
        <v>1</v>
      </c>
    </row>
    <row r="263" spans="16:26" x14ac:dyDescent="0.4">
      <c r="P263" s="22" t="str">
        <f>RISK进展队列GEO回末测序数据整理!A262</f>
        <v>GSM1598668</v>
      </c>
      <c r="Q263" s="22" t="str">
        <f>RISK进展队列GEO回末测序数据整理!B262</f>
        <v>CCFA_Risk_261</v>
      </c>
      <c r="R263" s="22" t="str">
        <f>IF(LOWER(TRIM(RISK进展队列GEO回末测序数据整理!G262))="not ibd","Not IBD",TRIM(RISK进展队列GEO回末测序数据整理!G262))</f>
        <v>CD</v>
      </c>
      <c r="S263" s="22" t="str">
        <f>IF(LOWER(TRIM(RISK进展队列GEO回末测序数据整理!H262))="not ibd","Not IBD",TRIM(RISK进展队列GEO回末测序数据整理!H262))</f>
        <v>iCD</v>
      </c>
      <c r="T263" s="22" t="str">
        <f>IF(RISK进展队列GEO回末测序数据整理!D262="女","女性",IF(RISK进展队列GEO回末测序数据整理!D262="男","男性",TRIM(RISK进展队列GEO回末测序数据整理!D262)))</f>
        <v>男性</v>
      </c>
      <c r="U263" s="22">
        <f>RISK进展队列GEO回末测序数据整理!E262</f>
        <v>10.75</v>
      </c>
      <c r="V263" s="22" t="str">
        <f>RISK进展队列GEO回末测序数据整理!F262</f>
        <v>A1b</v>
      </c>
      <c r="W263" s="22" t="str">
        <f>IF(RISK进展队列GEO回末测序数据整理!I262="Macroscopic inflammation","Macro",IF(RISK进展队列GEO回末测序数据整理!I262="Microscopic inflammation","Micro",TRIM(RISK进展队列GEO回末测序数据整理!I262)))</f>
        <v>Macro</v>
      </c>
      <c r="X263" s="22" t="str">
        <f>IF(RISK进展队列GEO回末测序数据整理!J262=1,"Yes",IF(RISK进展队列GEO回末测序数据整理!J262=0,"No","N/A"))</f>
        <v>Yes</v>
      </c>
      <c r="Y263" s="22">
        <f>IF(Q263="","",IF(COUNTIF($Q$3:Q263,Q263)=1,1,0))</f>
        <v>1</v>
      </c>
      <c r="Z263" s="22">
        <f>IF(Q263="","",IF(COUNTIFS($Q$3:Q263,Q263,$R$3:R263,R263)=1,1,0))</f>
        <v>1</v>
      </c>
    </row>
    <row r="264" spans="16:26" x14ac:dyDescent="0.4">
      <c r="P264" s="22" t="str">
        <f>RISK进展队列GEO回末测序数据整理!A263</f>
        <v>GSM1598669</v>
      </c>
      <c r="Q264" s="22" t="str">
        <f>RISK进展队列GEO回末测序数据整理!B263</f>
        <v>CCFA_Risk_262</v>
      </c>
      <c r="R264" s="22" t="str">
        <f>IF(LOWER(TRIM(RISK进展队列GEO回末测序数据整理!G263))="not ibd","Not IBD",TRIM(RISK进展队列GEO回末测序数据整理!G263))</f>
        <v>CD</v>
      </c>
      <c r="S264" s="22" t="str">
        <f>IF(LOWER(TRIM(RISK进展队列GEO回末测序数据整理!H263))="not ibd","Not IBD",TRIM(RISK进展队列GEO回末测序数据整理!H263))</f>
        <v>iCD</v>
      </c>
      <c r="T264" s="22" t="str">
        <f>IF(RISK进展队列GEO回末测序数据整理!D263="女","女性",IF(RISK进展队列GEO回末测序数据整理!D263="男","男性",TRIM(RISK进展队列GEO回末测序数据整理!D263)))</f>
        <v>男性</v>
      </c>
      <c r="U264" s="22">
        <f>RISK进展队列GEO回末测序数据整理!E263</f>
        <v>15.67</v>
      </c>
      <c r="V264" s="22" t="str">
        <f>RISK进展队列GEO回末测序数据整理!F263</f>
        <v>A1b</v>
      </c>
      <c r="W264" s="22" t="str">
        <f>IF(RISK进展队列GEO回末测序数据整理!I263="Macroscopic inflammation","Macro",IF(RISK进展队列GEO回末测序数据整理!I263="Microscopic inflammation","Micro",TRIM(RISK进展队列GEO回末测序数据整理!I263)))</f>
        <v>Macro</v>
      </c>
      <c r="X264" s="22" t="str">
        <f>IF(RISK进展队列GEO回末测序数据整理!J263=1,"Yes",IF(RISK进展队列GEO回末测序数据整理!J263=0,"No","N/A"))</f>
        <v>No</v>
      </c>
      <c r="Y264" s="22">
        <f>IF(Q264="","",IF(COUNTIF($Q$3:Q264,Q264)=1,1,0))</f>
        <v>1</v>
      </c>
      <c r="Z264" s="22">
        <f>IF(Q264="","",IF(COUNTIFS($Q$3:Q264,Q264,$R$3:R264,R264)=1,1,0))</f>
        <v>1</v>
      </c>
    </row>
    <row r="265" spans="16:26" x14ac:dyDescent="0.4">
      <c r="P265" s="22" t="str">
        <f>RISK进展队列GEO回末测序数据整理!A264</f>
        <v>GSM1598670</v>
      </c>
      <c r="Q265" s="22" t="str">
        <f>RISK进展队列GEO回末测序数据整理!B264</f>
        <v>CCFA_Risk_263</v>
      </c>
      <c r="R265" s="22" t="str">
        <f>IF(LOWER(TRIM(RISK进展队列GEO回末测序数据整理!G264))="not ibd","Not IBD",TRIM(RISK进展队列GEO回末测序数据整理!G264))</f>
        <v>CD</v>
      </c>
      <c r="S265" s="22" t="str">
        <f>IF(LOWER(TRIM(RISK进展队列GEO回末测序数据整理!H264))="not ibd","Not IBD",TRIM(RISK进展队列GEO回末测序数据整理!H264))</f>
        <v>iCD</v>
      </c>
      <c r="T265" s="22" t="str">
        <f>IF(RISK进展队列GEO回末测序数据整理!D264="女","女性",IF(RISK进展队列GEO回末测序数据整理!D264="男","男性",TRIM(RISK进展队列GEO回末测序数据整理!D264)))</f>
        <v>男性</v>
      </c>
      <c r="U265" s="22">
        <f>RISK进展队列GEO回末测序数据整理!E264</f>
        <v>12</v>
      </c>
      <c r="V265" s="22" t="str">
        <f>RISK进展队列GEO回末测序数据整理!F264</f>
        <v>A1b</v>
      </c>
      <c r="W265" s="22" t="str">
        <f>IF(RISK进展队列GEO回末测序数据整理!I264="Macroscopic inflammation","Macro",IF(RISK进展队列GEO回末测序数据整理!I264="Microscopic inflammation","Micro",TRIM(RISK进展队列GEO回末测序数据整理!I264)))</f>
        <v>Macro</v>
      </c>
      <c r="X265" s="22" t="str">
        <f>IF(RISK进展队列GEO回末测序数据整理!J264=1,"Yes",IF(RISK进展队列GEO回末测序数据整理!J264=0,"No","N/A"))</f>
        <v>Yes</v>
      </c>
      <c r="Y265" s="22">
        <f>IF(Q265="","",IF(COUNTIF($Q$3:Q265,Q265)=1,1,0))</f>
        <v>1</v>
      </c>
      <c r="Z265" s="22">
        <f>IF(Q265="","",IF(COUNTIFS($Q$3:Q265,Q265,$R$3:R265,R265)=1,1,0))</f>
        <v>1</v>
      </c>
    </row>
    <row r="266" spans="16:26" x14ac:dyDescent="0.4">
      <c r="P266" s="22" t="str">
        <f>RISK进展队列GEO回末测序数据整理!A265</f>
        <v>GSM1598671</v>
      </c>
      <c r="Q266" s="22" t="str">
        <f>RISK进展队列GEO回末测序数据整理!B265</f>
        <v>CCFA_Risk_264</v>
      </c>
      <c r="R266" s="22" t="str">
        <f>IF(LOWER(TRIM(RISK进展队列GEO回末测序数据整理!G265))="not ibd","Not IBD",TRIM(RISK进展队列GEO回末测序数据整理!G265))</f>
        <v>CD</v>
      </c>
      <c r="S266" s="22" t="str">
        <f>IF(LOWER(TRIM(RISK进展队列GEO回末测序数据整理!H265))="not ibd","Not IBD",TRIM(RISK进展队列GEO回末测序数据整理!H265))</f>
        <v>iCD</v>
      </c>
      <c r="T266" s="22" t="str">
        <f>IF(RISK进展队列GEO回末测序数据整理!D265="女","女性",IF(RISK进展队列GEO回末测序数据整理!D265="男","男性",TRIM(RISK进展队列GEO回末测序数据整理!D265)))</f>
        <v>男性</v>
      </c>
      <c r="U266" s="22">
        <f>RISK进展队列GEO回末测序数据整理!E265</f>
        <v>15.5</v>
      </c>
      <c r="V266" s="22" t="str">
        <f>RISK进展队列GEO回末测序数据整理!F265</f>
        <v>A1b</v>
      </c>
      <c r="W266" s="22" t="str">
        <f>IF(RISK进展队列GEO回末测序数据整理!I265="Macroscopic inflammation","Macro",IF(RISK进展队列GEO回末测序数据整理!I265="Microscopic inflammation","Micro",TRIM(RISK进展队列GEO回末测序数据整理!I265)))</f>
        <v>Macro</v>
      </c>
      <c r="X266" s="22" t="str">
        <f>IF(RISK进展队列GEO回末测序数据整理!J265=1,"Yes",IF(RISK进展队列GEO回末测序数据整理!J265=0,"No","N/A"))</f>
        <v>Yes</v>
      </c>
      <c r="Y266" s="22">
        <f>IF(Q266="","",IF(COUNTIF($Q$3:Q266,Q266)=1,1,0))</f>
        <v>1</v>
      </c>
      <c r="Z266" s="22">
        <f>IF(Q266="","",IF(COUNTIFS($Q$3:Q266,Q266,$R$3:R266,R266)=1,1,0))</f>
        <v>1</v>
      </c>
    </row>
    <row r="267" spans="16:26" x14ac:dyDescent="0.4">
      <c r="P267" s="22" t="str">
        <f>RISK进展队列GEO回末测序数据整理!A266</f>
        <v>GSM1598672</v>
      </c>
      <c r="Q267" s="22" t="str">
        <f>RISK进展队列GEO回末测序数据整理!B266</f>
        <v>CCFA_Risk_265</v>
      </c>
      <c r="R267" s="22" t="str">
        <f>IF(LOWER(TRIM(RISK进展队列GEO回末测序数据整理!G266))="not ibd","Not IBD",TRIM(RISK进展队列GEO回末测序数据整理!G266))</f>
        <v>CD</v>
      </c>
      <c r="S267" s="22" t="str">
        <f>IF(LOWER(TRIM(RISK进展队列GEO回末测序数据整理!H266))="not ibd","Not IBD",TRIM(RISK进展队列GEO回末测序数据整理!H266))</f>
        <v>cCD</v>
      </c>
      <c r="T267" s="22" t="str">
        <f>IF(RISK进展队列GEO回末测序数据整理!D266="女","女性",IF(RISK进展队列GEO回末测序数据整理!D266="男","男性",TRIM(RISK进展队列GEO回末测序数据整理!D266)))</f>
        <v>男性</v>
      </c>
      <c r="U267" s="22">
        <f>RISK进展队列GEO回末测序数据整理!E266</f>
        <v>12.83</v>
      </c>
      <c r="V267" s="22" t="str">
        <f>RISK进展队列GEO回末测序数据整理!F266</f>
        <v>A1b</v>
      </c>
      <c r="W267" s="22" t="str">
        <f>IF(RISK进展队列GEO回末测序数据整理!I266="Macroscopic inflammation","Macro",IF(RISK进展队列GEO回末测序数据整理!I266="Microscopic inflammation","Micro",TRIM(RISK进展队列GEO回末测序数据整理!I266)))</f>
        <v>Micro</v>
      </c>
      <c r="X267" s="22" t="str">
        <f>IF(RISK进展队列GEO回末测序数据整理!J266=1,"Yes",IF(RISK进展队列GEO回末测序数据整理!J266=0,"No","N/A"))</f>
        <v>No</v>
      </c>
      <c r="Y267" s="22">
        <f>IF(Q267="","",IF(COUNTIF($Q$3:Q267,Q267)=1,1,0))</f>
        <v>1</v>
      </c>
      <c r="Z267" s="22">
        <f>IF(Q267="","",IF(COUNTIFS($Q$3:Q267,Q267,$R$3:R267,R267)=1,1,0))</f>
        <v>1</v>
      </c>
    </row>
    <row r="268" spans="16:26" x14ac:dyDescent="0.4">
      <c r="P268" s="22" t="str">
        <f>RISK进展队列GEO回末测序数据整理!A267</f>
        <v>GSM1598673</v>
      </c>
      <c r="Q268" s="22" t="str">
        <f>RISK进展队列GEO回末测序数据整理!B267</f>
        <v>CCFA_Risk_266</v>
      </c>
      <c r="R268" s="22" t="str">
        <f>IF(LOWER(TRIM(RISK进展队列GEO回末测序数据整理!G267))="not ibd","Not IBD",TRIM(RISK进展队列GEO回末测序数据整理!G267))</f>
        <v>CD</v>
      </c>
      <c r="S268" s="22" t="str">
        <f>IF(LOWER(TRIM(RISK进展队列GEO回末测序数据整理!H267))="not ibd","Not IBD",TRIM(RISK进展队列GEO回末测序数据整理!H267))</f>
        <v>cCD</v>
      </c>
      <c r="T268" s="22" t="str">
        <f>IF(RISK进展队列GEO回末测序数据整理!D267="女","女性",IF(RISK进展队列GEO回末测序数据整理!D267="男","男性",TRIM(RISK进展队列GEO回末测序数据整理!D267)))</f>
        <v>男性</v>
      </c>
      <c r="U268" s="22">
        <f>RISK进展队列GEO回末测序数据整理!E267</f>
        <v>15.92</v>
      </c>
      <c r="V268" s="22" t="str">
        <f>RISK进展队列GEO回末测序数据整理!F267</f>
        <v>A1b</v>
      </c>
      <c r="W268" s="22" t="str">
        <f>IF(RISK进展队列GEO回末测序数据整理!I267="Macroscopic inflammation","Macro",IF(RISK进展队列GEO回末测序数据整理!I267="Microscopic inflammation","Micro",TRIM(RISK进展队列GEO回末测序数据整理!I267)))</f>
        <v>Micro</v>
      </c>
      <c r="X268" s="22" t="str">
        <f>IF(RISK进展队列GEO回末测序数据整理!J267=1,"Yes",IF(RISK进展队列GEO回末测序数据整理!J267=0,"No","N/A"))</f>
        <v>No</v>
      </c>
      <c r="Y268" s="22">
        <f>IF(Q268="","",IF(COUNTIF($Q$3:Q268,Q268)=1,1,0))</f>
        <v>1</v>
      </c>
      <c r="Z268" s="22">
        <f>IF(Q268="","",IF(COUNTIFS($Q$3:Q268,Q268,$R$3:R268,R268)=1,1,0))</f>
        <v>1</v>
      </c>
    </row>
    <row r="269" spans="16:26" x14ac:dyDescent="0.4">
      <c r="P269" s="22" t="str">
        <f>RISK进展队列GEO回末测序数据整理!A268</f>
        <v>GSM1598674</v>
      </c>
      <c r="Q269" s="22" t="str">
        <f>RISK进展队列GEO回末测序数据整理!B268</f>
        <v>CCFA_Risk_267</v>
      </c>
      <c r="R269" s="22" t="str">
        <f>IF(LOWER(TRIM(RISK进展队列GEO回末测序数据整理!G268))="not ibd","Not IBD",TRIM(RISK进展队列GEO回末测序数据整理!G268))</f>
        <v>CD</v>
      </c>
      <c r="S269" s="22" t="str">
        <f>IF(LOWER(TRIM(RISK进展队列GEO回末测序数据整理!H268))="not ibd","Not IBD",TRIM(RISK进展队列GEO回末测序数据整理!H268))</f>
        <v>iCD</v>
      </c>
      <c r="T269" s="22" t="str">
        <f>IF(RISK进展队列GEO回末测序数据整理!D268="女","女性",IF(RISK进展队列GEO回末测序数据整理!D268="男","男性",TRIM(RISK进展队列GEO回末测序数据整理!D268)))</f>
        <v>女性</v>
      </c>
      <c r="U269" s="22">
        <f>RISK进展队列GEO回末测序数据整理!E268</f>
        <v>13.67</v>
      </c>
      <c r="V269" s="22" t="str">
        <f>RISK进展队列GEO回末测序数据整理!F268</f>
        <v>A1b</v>
      </c>
      <c r="W269" s="22" t="str">
        <f>IF(RISK进展队列GEO回末测序数据整理!I268="Macroscopic inflammation","Macro",IF(RISK进展队列GEO回末测序数据整理!I268="Microscopic inflammation","Micro",TRIM(RISK进展队列GEO回末测序数据整理!I268)))</f>
        <v>Macro</v>
      </c>
      <c r="X269" s="22" t="str">
        <f>IF(RISK进展队列GEO回末测序数据整理!J268=1,"Yes",IF(RISK进展队列GEO回末测序数据整理!J268=0,"No","N/A"))</f>
        <v>No</v>
      </c>
      <c r="Y269" s="22">
        <f>IF(Q269="","",IF(COUNTIF($Q$3:Q269,Q269)=1,1,0))</f>
        <v>1</v>
      </c>
      <c r="Z269" s="22">
        <f>IF(Q269="","",IF(COUNTIFS($Q$3:Q269,Q269,$R$3:R269,R269)=1,1,0))</f>
        <v>1</v>
      </c>
    </row>
    <row r="270" spans="16:26" x14ac:dyDescent="0.4">
      <c r="P270" s="22" t="str">
        <f>RISK进展队列GEO回末测序数据整理!A269</f>
        <v>GSM1598675</v>
      </c>
      <c r="Q270" s="22" t="str">
        <f>RISK进展队列GEO回末测序数据整理!B269</f>
        <v>CCFA_Risk_268</v>
      </c>
      <c r="R270" s="22" t="str">
        <f>IF(LOWER(TRIM(RISK进展队列GEO回末测序数据整理!G269))="not ibd","Not IBD",TRIM(RISK进展队列GEO回末测序数据整理!G269))</f>
        <v>CD</v>
      </c>
      <c r="S270" s="22" t="str">
        <f>IF(LOWER(TRIM(RISK进展队列GEO回末测序数据整理!H269))="not ibd","Not IBD",TRIM(RISK进展队列GEO回末测序数据整理!H269))</f>
        <v>iCD</v>
      </c>
      <c r="T270" s="22" t="str">
        <f>IF(RISK进展队列GEO回末测序数据整理!D269="女","女性",IF(RISK进展队列GEO回末测序数据整理!D269="男","男性",TRIM(RISK进展队列GEO回末测序数据整理!D269)))</f>
        <v>男性</v>
      </c>
      <c r="U270" s="22">
        <f>RISK进展队列GEO回末测序数据整理!E269</f>
        <v>15.75</v>
      </c>
      <c r="V270" s="22" t="str">
        <f>RISK进展队列GEO回末测序数据整理!F269</f>
        <v>A1b</v>
      </c>
      <c r="W270" s="22" t="str">
        <f>IF(RISK进展队列GEO回末测序数据整理!I269="Macroscopic inflammation","Macro",IF(RISK进展队列GEO回末测序数据整理!I269="Microscopic inflammation","Micro",TRIM(RISK进展队列GEO回末测序数据整理!I269)))</f>
        <v>Macro</v>
      </c>
      <c r="X270" s="22" t="str">
        <f>IF(RISK进展队列GEO回末测序数据整理!J269=1,"Yes",IF(RISK进展队列GEO回末测序数据整理!J269=0,"No","N/A"))</f>
        <v>No</v>
      </c>
      <c r="Y270" s="22">
        <f>IF(Q270="","",IF(COUNTIF($Q$3:Q270,Q270)=1,1,0))</f>
        <v>1</v>
      </c>
      <c r="Z270" s="22">
        <f>IF(Q270="","",IF(COUNTIFS($Q$3:Q270,Q270,$R$3:R270,R270)=1,1,0))</f>
        <v>1</v>
      </c>
    </row>
    <row r="271" spans="16:26" x14ac:dyDescent="0.4">
      <c r="P271" s="22" t="str">
        <f>RISK进展队列GEO回末测序数据整理!A270</f>
        <v>GSM1598676</v>
      </c>
      <c r="Q271" s="22" t="str">
        <f>RISK进展队列GEO回末测序数据整理!B270</f>
        <v>CCFA_Risk_269</v>
      </c>
      <c r="R271" s="22" t="str">
        <f>IF(LOWER(TRIM(RISK进展队列GEO回末测序数据整理!G270))="not ibd","Not IBD",TRIM(RISK进展队列GEO回末测序数据整理!G270))</f>
        <v>CD</v>
      </c>
      <c r="S271" s="22" t="str">
        <f>IF(LOWER(TRIM(RISK进展队列GEO回末测序数据整理!H270))="not ibd","Not IBD",TRIM(RISK进展队列GEO回末测序数据整理!H270))</f>
        <v>iCD</v>
      </c>
      <c r="T271" s="22" t="str">
        <f>IF(RISK进展队列GEO回末测序数据整理!D270="女","女性",IF(RISK进展队列GEO回末测序数据整理!D270="男","男性",TRIM(RISK进展队列GEO回末测序数据整理!D270)))</f>
        <v>男性</v>
      </c>
      <c r="U271" s="22">
        <f>RISK进展队列GEO回末测序数据整理!E270</f>
        <v>13.92</v>
      </c>
      <c r="V271" s="22" t="str">
        <f>RISK进展队列GEO回末测序数据整理!F270</f>
        <v>A1b</v>
      </c>
      <c r="W271" s="22" t="str">
        <f>IF(RISK进展队列GEO回末测序数据整理!I270="Macroscopic inflammation","Macro",IF(RISK进展队列GEO回末测序数据整理!I270="Microscopic inflammation","Micro",TRIM(RISK进展队列GEO回末测序数据整理!I270)))</f>
        <v>Macro</v>
      </c>
      <c r="X271" s="22" t="str">
        <f>IF(RISK进展队列GEO回末测序数据整理!J270=1,"Yes",IF(RISK进展队列GEO回末测序数据整理!J270=0,"No","N/A"))</f>
        <v>Yes</v>
      </c>
      <c r="Y271" s="22">
        <f>IF(Q271="","",IF(COUNTIF($Q$3:Q271,Q271)=1,1,0))</f>
        <v>1</v>
      </c>
      <c r="Z271" s="22">
        <f>IF(Q271="","",IF(COUNTIFS($Q$3:Q271,Q271,$R$3:R271,R271)=1,1,0))</f>
        <v>1</v>
      </c>
    </row>
    <row r="272" spans="16:26" x14ac:dyDescent="0.4">
      <c r="P272" s="22" t="str">
        <f>RISK进展队列GEO回末测序数据整理!A271</f>
        <v>GSM1598677</v>
      </c>
      <c r="Q272" s="22" t="str">
        <f>RISK进展队列GEO回末测序数据整理!B271</f>
        <v>CCFA_Risk_270</v>
      </c>
      <c r="R272" s="22" t="str">
        <f>IF(LOWER(TRIM(RISK进展队列GEO回末测序数据整理!G271))="not ibd","Not IBD",TRIM(RISK进展队列GEO回末测序数据整理!G271))</f>
        <v>CD</v>
      </c>
      <c r="S272" s="22" t="str">
        <f>IF(LOWER(TRIM(RISK进展队列GEO回末测序数据整理!H271))="not ibd","Not IBD",TRIM(RISK进展队列GEO回末测序数据整理!H271))</f>
        <v>cCD</v>
      </c>
      <c r="T272" s="22" t="str">
        <f>IF(RISK进展队列GEO回末测序数据整理!D271="女","女性",IF(RISK进展队列GEO回末测序数据整理!D271="男","男性",TRIM(RISK进展队列GEO回末测序数据整理!D271)))</f>
        <v>男性</v>
      </c>
      <c r="U272" s="22">
        <f>RISK进展队列GEO回末测序数据整理!E271</f>
        <v>16.75</v>
      </c>
      <c r="V272" s="22" t="str">
        <f>RISK进展队列GEO回末测序数据整理!F271</f>
        <v>A1b</v>
      </c>
      <c r="W272" s="22" t="str">
        <f>IF(RISK进展队列GEO回末测序数据整理!I271="Macroscopic inflammation","Macro",IF(RISK进展队列GEO回末测序数据整理!I271="Microscopic inflammation","Micro",TRIM(RISK进展队列GEO回末测序数据整理!I271)))</f>
        <v>Normal</v>
      </c>
      <c r="X272" s="22" t="str">
        <f>IF(RISK进展队列GEO回末测序数据整理!J271=1,"Yes",IF(RISK进展队列GEO回末测序数据整理!J271=0,"No","N/A"))</f>
        <v>No</v>
      </c>
      <c r="Y272" s="22">
        <f>IF(Q272="","",IF(COUNTIF($Q$3:Q272,Q272)=1,1,0))</f>
        <v>1</v>
      </c>
      <c r="Z272" s="22">
        <f>IF(Q272="","",IF(COUNTIFS($Q$3:Q272,Q272,$R$3:R272,R272)=1,1,0))</f>
        <v>1</v>
      </c>
    </row>
    <row r="273" spans="16:26" x14ac:dyDescent="0.4">
      <c r="P273" s="22" t="str">
        <f>RISK进展队列GEO回末测序数据整理!A272</f>
        <v>GSM1598678</v>
      </c>
      <c r="Q273" s="22" t="str">
        <f>RISK进展队列GEO回末测序数据整理!B272</f>
        <v>CCFA_Risk_271</v>
      </c>
      <c r="R273" s="22" t="str">
        <f>IF(LOWER(TRIM(RISK进展队列GEO回末测序数据整理!G272))="not ibd","Not IBD",TRIM(RISK进展队列GEO回末测序数据整理!G272))</f>
        <v>CD</v>
      </c>
      <c r="S273" s="22" t="str">
        <f>IF(LOWER(TRIM(RISK进展队列GEO回末测序数据整理!H272))="not ibd","Not IBD",TRIM(RISK进展队列GEO回末测序数据整理!H272))</f>
        <v>cCD</v>
      </c>
      <c r="T273" s="22" t="str">
        <f>IF(RISK进展队列GEO回末测序数据整理!D272="女","女性",IF(RISK进展队列GEO回末测序数据整理!D272="男","男性",TRIM(RISK进展队列GEO回末测序数据整理!D272)))</f>
        <v>男性</v>
      </c>
      <c r="U273" s="22">
        <f>RISK进展队列GEO回末测序数据整理!E272</f>
        <v>11.67</v>
      </c>
      <c r="V273" s="22" t="str">
        <f>RISK进展队列GEO回末测序数据整理!F272</f>
        <v>A1b</v>
      </c>
      <c r="W273" s="22" t="str">
        <f>IF(RISK进展队列GEO回末测序数据整理!I272="Macroscopic inflammation","Macro",IF(RISK进展队列GEO回末测序数据整理!I272="Microscopic inflammation","Micro",TRIM(RISK进展队列GEO回末测序数据整理!I272)))</f>
        <v>Normal</v>
      </c>
      <c r="X273" s="22" t="str">
        <f>IF(RISK进展队列GEO回末测序数据整理!J272=1,"Yes",IF(RISK进展队列GEO回末测序数据整理!J272=0,"No","N/A"))</f>
        <v>No</v>
      </c>
      <c r="Y273" s="22">
        <f>IF(Q273="","",IF(COUNTIF($Q$3:Q273,Q273)=1,1,0))</f>
        <v>1</v>
      </c>
      <c r="Z273" s="22">
        <f>IF(Q273="","",IF(COUNTIFS($Q$3:Q273,Q273,$R$3:R273,R273)=1,1,0))</f>
        <v>1</v>
      </c>
    </row>
    <row r="274" spans="16:26" x14ac:dyDescent="0.4">
      <c r="P274" s="22" t="str">
        <f>RISK进展队列GEO回末测序数据整理!A273</f>
        <v>GSM1598679</v>
      </c>
      <c r="Q274" s="22" t="str">
        <f>RISK进展队列GEO回末测序数据整理!B273</f>
        <v>CCFA_Risk_272</v>
      </c>
      <c r="R274" s="22" t="str">
        <f>IF(LOWER(TRIM(RISK进展队列GEO回末测序数据整理!G273))="not ibd","Not IBD",TRIM(RISK进展队列GEO回末测序数据整理!G273))</f>
        <v>UC</v>
      </c>
      <c r="S274" s="22" t="str">
        <f>IF(LOWER(TRIM(RISK进展队列GEO回末测序数据整理!H273))="not ibd","Not IBD",TRIM(RISK进展队列GEO回末测序数据整理!H273))</f>
        <v>UC</v>
      </c>
      <c r="T274" s="22" t="str">
        <f>IF(RISK进展队列GEO回末测序数据整理!D273="女","女性",IF(RISK进展队列GEO回末测序数据整理!D273="男","男性",TRIM(RISK进展队列GEO回末测序数据整理!D273)))</f>
        <v>女性</v>
      </c>
      <c r="U274" s="22">
        <f>RISK进展队列GEO回末测序数据整理!E273</f>
        <v>12</v>
      </c>
      <c r="V274" s="22" t="str">
        <f>RISK进展队列GEO回末测序数据整理!F273</f>
        <v>A1b</v>
      </c>
      <c r="W274" s="22" t="str">
        <f>IF(RISK进展队列GEO回末测序数据整理!I273="Macroscopic inflammation","Macro",IF(RISK进展队列GEO回末测序数据整理!I273="Microscopic inflammation","Micro",TRIM(RISK进展队列GEO回末测序数据整理!I273)))</f>
        <v>NA</v>
      </c>
      <c r="X274" s="22" t="str">
        <f>IF(RISK进展队列GEO回末测序数据整理!J273=1,"Yes",IF(RISK进展队列GEO回末测序数据整理!J273=0,"No","N/A"))</f>
        <v>N/A</v>
      </c>
      <c r="Y274" s="22">
        <f>IF(Q274="","",IF(COUNTIF($Q$3:Q274,Q274)=1,1,0))</f>
        <v>1</v>
      </c>
      <c r="Z274" s="22">
        <f>IF(Q274="","",IF(COUNTIFS($Q$3:Q274,Q274,$R$3:R274,R274)=1,1,0))</f>
        <v>1</v>
      </c>
    </row>
    <row r="275" spans="16:26" x14ac:dyDescent="0.4">
      <c r="P275" s="22" t="str">
        <f>RISK进展队列GEO回末测序数据整理!A274</f>
        <v>GSM1598680</v>
      </c>
      <c r="Q275" s="22" t="str">
        <f>RISK进展队列GEO回末测序数据整理!B274</f>
        <v>CCFA_Risk_273</v>
      </c>
      <c r="R275" s="22" t="str">
        <f>IF(LOWER(TRIM(RISK进展队列GEO回末测序数据整理!G274))="not ibd","Not IBD",TRIM(RISK进展队列GEO回末测序数据整理!G274))</f>
        <v>CD</v>
      </c>
      <c r="S275" s="22" t="str">
        <f>IF(LOWER(TRIM(RISK进展队列GEO回末测序数据整理!H274))="not ibd","Not IBD",TRIM(RISK进展队列GEO回末测序数据整理!H274))</f>
        <v>cCD</v>
      </c>
      <c r="T275" s="22" t="str">
        <f>IF(RISK进展队列GEO回末测序数据整理!D274="女","女性",IF(RISK进展队列GEO回末测序数据整理!D274="男","男性",TRIM(RISK进展队列GEO回末测序数据整理!D274)))</f>
        <v>男性</v>
      </c>
      <c r="U275" s="22">
        <f>RISK进展队列GEO回末测序数据整理!E274</f>
        <v>16.920000000000002</v>
      </c>
      <c r="V275" s="22" t="str">
        <f>RISK进展队列GEO回末测序数据整理!F274</f>
        <v>A1b</v>
      </c>
      <c r="W275" s="22" t="str">
        <f>IF(RISK进展队列GEO回末测序数据整理!I274="Macroscopic inflammation","Macro",IF(RISK进展队列GEO回末测序数据整理!I274="Microscopic inflammation","Micro",TRIM(RISK进展队列GEO回末测序数据整理!I274)))</f>
        <v>Micro</v>
      </c>
      <c r="X275" s="22" t="str">
        <f>IF(RISK进展队列GEO回末测序数据整理!J274=1,"Yes",IF(RISK进展队列GEO回末测序数据整理!J274=0,"No","N/A"))</f>
        <v>No</v>
      </c>
      <c r="Y275" s="22">
        <f>IF(Q275="","",IF(COUNTIF($Q$3:Q275,Q275)=1,1,0))</f>
        <v>1</v>
      </c>
      <c r="Z275" s="22">
        <f>IF(Q275="","",IF(COUNTIFS($Q$3:Q275,Q275,$R$3:R275,R275)=1,1,0))</f>
        <v>1</v>
      </c>
    </row>
    <row r="276" spans="16:26" x14ac:dyDescent="0.4">
      <c r="P276" s="22" t="str">
        <f>RISK进展队列GEO回末测序数据整理!A275</f>
        <v>GSM1598681</v>
      </c>
      <c r="Q276" s="22" t="str">
        <f>RISK进展队列GEO回末测序数据整理!B275</f>
        <v>CCFA_Risk_274</v>
      </c>
      <c r="R276" s="22" t="str">
        <f>IF(LOWER(TRIM(RISK进展队列GEO回末测序数据整理!G275))="not ibd","Not IBD",TRIM(RISK进展队列GEO回末测序数据整理!G275))</f>
        <v>CD</v>
      </c>
      <c r="S276" s="22" t="str">
        <f>IF(LOWER(TRIM(RISK进展队列GEO回末测序数据整理!H275))="not ibd","Not IBD",TRIM(RISK进展队列GEO回末测序数据整理!H275))</f>
        <v>cCD</v>
      </c>
      <c r="T276" s="22" t="str">
        <f>IF(RISK进展队列GEO回末测序数据整理!D275="女","女性",IF(RISK进展队列GEO回末测序数据整理!D275="男","男性",TRIM(RISK进展队列GEO回末测序数据整理!D275)))</f>
        <v>女性</v>
      </c>
      <c r="U276" s="22">
        <f>RISK进展队列GEO回末测序数据整理!E275</f>
        <v>12.33</v>
      </c>
      <c r="V276" s="22" t="str">
        <f>RISK进展队列GEO回末测序数据整理!F275</f>
        <v>A1b</v>
      </c>
      <c r="W276" s="22" t="str">
        <f>IF(RISK进展队列GEO回末测序数据整理!I275="Macroscopic inflammation","Macro",IF(RISK进展队列GEO回末测序数据整理!I275="Microscopic inflammation","Micro",TRIM(RISK进展队列GEO回末测序数据整理!I275)))</f>
        <v>Normal</v>
      </c>
      <c r="X276" s="22" t="str">
        <f>IF(RISK进展队列GEO回末测序数据整理!J275=1,"Yes",IF(RISK进展队列GEO回末测序数据整理!J275=0,"No","N/A"))</f>
        <v>No</v>
      </c>
      <c r="Y276" s="22">
        <f>IF(Q276="","",IF(COUNTIF($Q$3:Q276,Q276)=1,1,0))</f>
        <v>1</v>
      </c>
      <c r="Z276" s="22">
        <f>IF(Q276="","",IF(COUNTIFS($Q$3:Q276,Q276,$R$3:R276,R276)=1,1,0))</f>
        <v>1</v>
      </c>
    </row>
    <row r="277" spans="16:26" x14ac:dyDescent="0.4">
      <c r="P277" s="22" t="str">
        <f>RISK进展队列GEO回末测序数据整理!A276</f>
        <v>GSM1598682</v>
      </c>
      <c r="Q277" s="22" t="str">
        <f>RISK进展队列GEO回末测序数据整理!B276</f>
        <v>CCFA_Risk_275</v>
      </c>
      <c r="R277" s="22" t="str">
        <f>IF(LOWER(TRIM(RISK进展队列GEO回末测序数据整理!G276))="not ibd","Not IBD",TRIM(RISK进展队列GEO回末测序数据整理!G276))</f>
        <v>CD</v>
      </c>
      <c r="S277" s="22" t="str">
        <f>IF(LOWER(TRIM(RISK进展队列GEO回末测序数据整理!H276))="not ibd","Not IBD",TRIM(RISK进展队列GEO回末测序数据整理!H276))</f>
        <v>iCD</v>
      </c>
      <c r="T277" s="22" t="str">
        <f>IF(RISK进展队列GEO回末测序数据整理!D276="女","女性",IF(RISK进展队列GEO回末测序数据整理!D276="男","男性",TRIM(RISK进展队列GEO回末测序数据整理!D276)))</f>
        <v>女性</v>
      </c>
      <c r="U277" s="22">
        <f>RISK进展队列GEO回末测序数据整理!E276</f>
        <v>10.83</v>
      </c>
      <c r="V277" s="22" t="str">
        <f>RISK进展队列GEO回末测序数据整理!F276</f>
        <v>A1b</v>
      </c>
      <c r="W277" s="22" t="str">
        <f>IF(RISK进展队列GEO回末测序数据整理!I276="Macroscopic inflammation","Macro",IF(RISK进展队列GEO回末测序数据整理!I276="Microscopic inflammation","Micro",TRIM(RISK进展队列GEO回末测序数据整理!I276)))</f>
        <v>Macro</v>
      </c>
      <c r="X277" s="22" t="str">
        <f>IF(RISK进展队列GEO回末测序数据整理!J276=1,"Yes",IF(RISK进展队列GEO回末测序数据整理!J276=0,"No","N/A"))</f>
        <v>Yes</v>
      </c>
      <c r="Y277" s="22">
        <f>IF(Q277="","",IF(COUNTIF($Q$3:Q277,Q277)=1,1,0))</f>
        <v>1</v>
      </c>
      <c r="Z277" s="22">
        <f>IF(Q277="","",IF(COUNTIFS($Q$3:Q277,Q277,$R$3:R277,R277)=1,1,0))</f>
        <v>1</v>
      </c>
    </row>
    <row r="278" spans="16:26" x14ac:dyDescent="0.4">
      <c r="P278" s="22" t="str">
        <f>RISK进展队列GEO回末测序数据整理!A277</f>
        <v>GSM1598683</v>
      </c>
      <c r="Q278" s="22" t="str">
        <f>RISK进展队列GEO回末测序数据整理!B277</f>
        <v>CCFA_Risk_276</v>
      </c>
      <c r="R278" s="22" t="str">
        <f>IF(LOWER(TRIM(RISK进展队列GEO回末测序数据整理!G277))="not ibd","Not IBD",TRIM(RISK进展队列GEO回末测序数据整理!G277))</f>
        <v>CD</v>
      </c>
      <c r="S278" s="22" t="str">
        <f>IF(LOWER(TRIM(RISK进展队列GEO回末测序数据整理!H277))="not ibd","Not IBD",TRIM(RISK进展队列GEO回末测序数据整理!H277))</f>
        <v>iCD</v>
      </c>
      <c r="T278" s="22" t="str">
        <f>IF(RISK进展队列GEO回末测序数据整理!D277="女","女性",IF(RISK进展队列GEO回末测序数据整理!D277="男","男性",TRIM(RISK进展队列GEO回末测序数据整理!D277)))</f>
        <v>男性</v>
      </c>
      <c r="U278" s="22">
        <f>RISK进展队列GEO回末测序数据整理!E277</f>
        <v>13.25</v>
      </c>
      <c r="V278" s="22" t="str">
        <f>RISK进展队列GEO回末测序数据整理!F277</f>
        <v>A1b</v>
      </c>
      <c r="W278" s="22" t="str">
        <f>IF(RISK进展队列GEO回末测序数据整理!I277="Macroscopic inflammation","Macro",IF(RISK进展队列GEO回末测序数据整理!I277="Microscopic inflammation","Micro",TRIM(RISK进展队列GEO回末测序数据整理!I277)))</f>
        <v>Macro</v>
      </c>
      <c r="X278" s="22" t="str">
        <f>IF(RISK进展队列GEO回末测序数据整理!J277=1,"Yes",IF(RISK进展队列GEO回末测序数据整理!J277=0,"No","N/A"))</f>
        <v>Yes</v>
      </c>
      <c r="Y278" s="22">
        <f>IF(Q278="","",IF(COUNTIF($Q$3:Q278,Q278)=1,1,0))</f>
        <v>1</v>
      </c>
      <c r="Z278" s="22">
        <f>IF(Q278="","",IF(COUNTIFS($Q$3:Q278,Q278,$R$3:R278,R278)=1,1,0))</f>
        <v>1</v>
      </c>
    </row>
    <row r="279" spans="16:26" x14ac:dyDescent="0.4">
      <c r="P279" s="22" t="str">
        <f>RISK进展队列GEO回末测序数据整理!A278</f>
        <v>GSM1598684</v>
      </c>
      <c r="Q279" s="22" t="str">
        <f>RISK进展队列GEO回末测序数据整理!B278</f>
        <v>CCFA_Risk_277</v>
      </c>
      <c r="R279" s="22" t="str">
        <f>IF(LOWER(TRIM(RISK进展队列GEO回末测序数据整理!G278))="not ibd","Not IBD",TRIM(RISK进展队列GEO回末测序数据整理!G278))</f>
        <v>UC</v>
      </c>
      <c r="S279" s="22" t="str">
        <f>IF(LOWER(TRIM(RISK进展队列GEO回末测序数据整理!H278))="not ibd","Not IBD",TRIM(RISK进展队列GEO回末测序数据整理!H278))</f>
        <v>UC</v>
      </c>
      <c r="T279" s="22" t="str">
        <f>IF(RISK进展队列GEO回末测序数据整理!D278="女","女性",IF(RISK进展队列GEO回末测序数据整理!D278="男","男性",TRIM(RISK进展队列GEO回末测序数据整理!D278)))</f>
        <v>男性</v>
      </c>
      <c r="U279" s="22">
        <f>RISK进展队列GEO回末测序数据整理!E278</f>
        <v>7.25</v>
      </c>
      <c r="V279" s="22" t="str">
        <f>RISK进展队列GEO回末测序数据整理!F278</f>
        <v>A1a</v>
      </c>
      <c r="W279" s="22" t="str">
        <f>IF(RISK进展队列GEO回末测序数据整理!I278="Macroscopic inflammation","Macro",IF(RISK进展队列GEO回末测序数据整理!I278="Microscopic inflammation","Micro",TRIM(RISK进展队列GEO回末测序数据整理!I278)))</f>
        <v>NA</v>
      </c>
      <c r="X279" s="22" t="str">
        <f>IF(RISK进展队列GEO回末测序数据整理!J278=1,"Yes",IF(RISK进展队列GEO回末测序数据整理!J278=0,"No","N/A"))</f>
        <v>N/A</v>
      </c>
      <c r="Y279" s="22">
        <f>IF(Q279="","",IF(COUNTIF($Q$3:Q279,Q279)=1,1,0))</f>
        <v>1</v>
      </c>
      <c r="Z279" s="22">
        <f>IF(Q279="","",IF(COUNTIFS($Q$3:Q279,Q279,$R$3:R279,R279)=1,1,0))</f>
        <v>1</v>
      </c>
    </row>
    <row r="280" spans="16:26" x14ac:dyDescent="0.4">
      <c r="P280" s="22" t="str">
        <f>RISK进展队列GEO回末测序数据整理!A279</f>
        <v>GSM1598685</v>
      </c>
      <c r="Q280" s="22" t="str">
        <f>RISK进展队列GEO回末测序数据整理!B279</f>
        <v>CCFA_Risk_278</v>
      </c>
      <c r="R280" s="22" t="str">
        <f>IF(LOWER(TRIM(RISK进展队列GEO回末测序数据整理!G279))="not ibd","Not IBD",TRIM(RISK进展队列GEO回末测序数据整理!G279))</f>
        <v>CD</v>
      </c>
      <c r="S280" s="22" t="str">
        <f>IF(LOWER(TRIM(RISK进展队列GEO回末测序数据整理!H279))="not ibd","Not IBD",TRIM(RISK进展队列GEO回末测序数据整理!H279))</f>
        <v>cCD</v>
      </c>
      <c r="T280" s="22" t="str">
        <f>IF(RISK进展队列GEO回末测序数据整理!D279="女","女性",IF(RISK进展队列GEO回末测序数据整理!D279="男","男性",TRIM(RISK进展队列GEO回末测序数据整理!D279)))</f>
        <v>男性</v>
      </c>
      <c r="U280" s="22">
        <f>RISK进展队列GEO回末测序数据整理!E279</f>
        <v>15.83</v>
      </c>
      <c r="V280" s="22" t="str">
        <f>RISK进展队列GEO回末测序数据整理!F279</f>
        <v>A1b</v>
      </c>
      <c r="W280" s="22" t="str">
        <f>IF(RISK进展队列GEO回末测序数据整理!I279="Macroscopic inflammation","Macro",IF(RISK进展队列GEO回末测序数据整理!I279="Microscopic inflammation","Micro",TRIM(RISK进展队列GEO回末测序数据整理!I279)))</f>
        <v>Micro</v>
      </c>
      <c r="X280" s="22" t="str">
        <f>IF(RISK进展队列GEO回末测序数据整理!J279=1,"Yes",IF(RISK进展队列GEO回末测序数据整理!J279=0,"No","N/A"))</f>
        <v>No</v>
      </c>
      <c r="Y280" s="22">
        <f>IF(Q280="","",IF(COUNTIF($Q$3:Q280,Q280)=1,1,0))</f>
        <v>1</v>
      </c>
      <c r="Z280" s="22">
        <f>IF(Q280="","",IF(COUNTIFS($Q$3:Q280,Q280,$R$3:R280,R280)=1,1,0))</f>
        <v>1</v>
      </c>
    </row>
    <row r="281" spans="16:26" x14ac:dyDescent="0.4">
      <c r="P281" s="22" t="str">
        <f>RISK进展队列GEO回末测序数据整理!A280</f>
        <v>GSM1598686</v>
      </c>
      <c r="Q281" s="22" t="str">
        <f>RISK进展队列GEO回末测序数据整理!B280</f>
        <v>CCFA_Risk_279</v>
      </c>
      <c r="R281" s="22" t="str">
        <f>IF(LOWER(TRIM(RISK进展队列GEO回末测序数据整理!G280))="not ibd","Not IBD",TRIM(RISK进展队列GEO回末测序数据整理!G280))</f>
        <v>CD</v>
      </c>
      <c r="S281" s="22" t="str">
        <f>IF(LOWER(TRIM(RISK进展队列GEO回末测序数据整理!H280))="not ibd","Not IBD",TRIM(RISK进展队列GEO回末测序数据整理!H280))</f>
        <v>cCD</v>
      </c>
      <c r="T281" s="22" t="str">
        <f>IF(RISK进展队列GEO回末测序数据整理!D280="女","女性",IF(RISK进展队列GEO回末测序数据整理!D280="男","男性",TRIM(RISK进展队列GEO回末测序数据整理!D280)))</f>
        <v>女性</v>
      </c>
      <c r="U281" s="22">
        <f>RISK进展队列GEO回末测序数据整理!E280</f>
        <v>14.25</v>
      </c>
      <c r="V281" s="22" t="str">
        <f>RISK进展队列GEO回末测序数据整理!F280</f>
        <v>A1b</v>
      </c>
      <c r="W281" s="22" t="str">
        <f>IF(RISK进展队列GEO回末测序数据整理!I280="Macroscopic inflammation","Macro",IF(RISK进展队列GEO回末测序数据整理!I280="Microscopic inflammation","Micro",TRIM(RISK进展队列GEO回末测序数据整理!I280)))</f>
        <v>Micro</v>
      </c>
      <c r="X281" s="22" t="str">
        <f>IF(RISK进展队列GEO回末测序数据整理!J280=1,"Yes",IF(RISK进展队列GEO回末测序数据整理!J280=0,"No","N/A"))</f>
        <v>No</v>
      </c>
      <c r="Y281" s="22">
        <f>IF(Q281="","",IF(COUNTIF($Q$3:Q281,Q281)=1,1,0))</f>
        <v>1</v>
      </c>
      <c r="Z281" s="22">
        <f>IF(Q281="","",IF(COUNTIFS($Q$3:Q281,Q281,$R$3:R281,R281)=1,1,0))</f>
        <v>1</v>
      </c>
    </row>
    <row r="282" spans="16:26" x14ac:dyDescent="0.4">
      <c r="P282" s="22" t="str">
        <f>RISK进展队列GEO回末测序数据整理!A281</f>
        <v>GSM1598687</v>
      </c>
      <c r="Q282" s="22" t="str">
        <f>RISK进展队列GEO回末测序数据整理!B281</f>
        <v>CCFA_Risk_280</v>
      </c>
      <c r="R282" s="22" t="str">
        <f>IF(LOWER(TRIM(RISK进展队列GEO回末测序数据整理!G281))="not ibd","Not IBD",TRIM(RISK进展队列GEO回末测序数据整理!G281))</f>
        <v>UC</v>
      </c>
      <c r="S282" s="22" t="str">
        <f>IF(LOWER(TRIM(RISK进展队列GEO回末测序数据整理!H281))="not ibd","Not IBD",TRIM(RISK进展队列GEO回末测序数据整理!H281))</f>
        <v>UC</v>
      </c>
      <c r="T282" s="22" t="str">
        <f>IF(RISK进展队列GEO回末测序数据整理!D281="女","女性",IF(RISK进展队列GEO回末测序数据整理!D281="男","男性",TRIM(RISK进展队列GEO回末测序数据整理!D281)))</f>
        <v>女性</v>
      </c>
      <c r="U282" s="22">
        <f>RISK进展队列GEO回末测序数据整理!E281</f>
        <v>16.579999999999998</v>
      </c>
      <c r="V282" s="22" t="str">
        <f>RISK进展队列GEO回末测序数据整理!F281</f>
        <v>A1b</v>
      </c>
      <c r="W282" s="22" t="str">
        <f>IF(RISK进展队列GEO回末测序数据整理!I281="Macroscopic inflammation","Macro",IF(RISK进展队列GEO回末测序数据整理!I281="Microscopic inflammation","Micro",TRIM(RISK进展队列GEO回末测序数据整理!I281)))</f>
        <v>NA</v>
      </c>
      <c r="X282" s="22" t="str">
        <f>IF(RISK进展队列GEO回末测序数据整理!J281=1,"Yes",IF(RISK进展队列GEO回末测序数据整理!J281=0,"No","N/A"))</f>
        <v>N/A</v>
      </c>
      <c r="Y282" s="22">
        <f>IF(Q282="","",IF(COUNTIF($Q$3:Q282,Q282)=1,1,0))</f>
        <v>1</v>
      </c>
      <c r="Z282" s="22">
        <f>IF(Q282="","",IF(COUNTIFS($Q$3:Q282,Q282,$R$3:R282,R282)=1,1,0))</f>
        <v>1</v>
      </c>
    </row>
    <row r="283" spans="16:26" x14ac:dyDescent="0.4">
      <c r="P283" s="22" t="str">
        <f>RISK进展队列GEO回末测序数据整理!A282</f>
        <v>GSM1598688</v>
      </c>
      <c r="Q283" s="22" t="str">
        <f>RISK进展队列GEO回末测序数据整理!B282</f>
        <v>CCFA_Risk_281</v>
      </c>
      <c r="R283" s="22" t="str">
        <f>IF(LOWER(TRIM(RISK进展队列GEO回末测序数据整理!G282))="not ibd","Not IBD",TRIM(RISK进展队列GEO回末测序数据整理!G282))</f>
        <v>CD</v>
      </c>
      <c r="S283" s="22" t="str">
        <f>IF(LOWER(TRIM(RISK进展队列GEO回末测序数据整理!H282))="not ibd","Not IBD",TRIM(RISK进展队列GEO回末测序数据整理!H282))</f>
        <v>cCD</v>
      </c>
      <c r="T283" s="22" t="str">
        <f>IF(RISK进展队列GEO回末测序数据整理!D282="女","女性",IF(RISK进展队列GEO回末测序数据整理!D282="男","男性",TRIM(RISK进展队列GEO回末测序数据整理!D282)))</f>
        <v>男性</v>
      </c>
      <c r="U283" s="22">
        <f>RISK进展队列GEO回末测序数据整理!E282</f>
        <v>16.5</v>
      </c>
      <c r="V283" s="22" t="str">
        <f>RISK进展队列GEO回末测序数据整理!F282</f>
        <v>A1b</v>
      </c>
      <c r="W283" s="22" t="str">
        <f>IF(RISK进展队列GEO回末测序数据整理!I282="Macroscopic inflammation","Macro",IF(RISK进展队列GEO回末测序数据整理!I282="Microscopic inflammation","Micro",TRIM(RISK进展队列GEO回末测序数据整理!I282)))</f>
        <v>Normal</v>
      </c>
      <c r="X283" s="22" t="str">
        <f>IF(RISK进展队列GEO回末测序数据整理!J282=1,"Yes",IF(RISK进展队列GEO回末测序数据整理!J282=0,"No","N/A"))</f>
        <v>No</v>
      </c>
      <c r="Y283" s="22">
        <f>IF(Q283="","",IF(COUNTIF($Q$3:Q283,Q283)=1,1,0))</f>
        <v>1</v>
      </c>
      <c r="Z283" s="22">
        <f>IF(Q283="","",IF(COUNTIFS($Q$3:Q283,Q283,$R$3:R283,R283)=1,1,0))</f>
        <v>1</v>
      </c>
    </row>
    <row r="284" spans="16:26" x14ac:dyDescent="0.4">
      <c r="P284" s="22" t="str">
        <f>RISK进展队列GEO回末测序数据整理!A283</f>
        <v>GSM1598689</v>
      </c>
      <c r="Q284" s="22" t="str">
        <f>RISK进展队列GEO回末测序数据整理!B283</f>
        <v>CCFA_Risk_282</v>
      </c>
      <c r="R284" s="22" t="str">
        <f>IF(LOWER(TRIM(RISK进展队列GEO回末测序数据整理!G283))="not ibd","Not IBD",TRIM(RISK进展队列GEO回末测序数据整理!G283))</f>
        <v>UC</v>
      </c>
      <c r="S284" s="22" t="str">
        <f>IF(LOWER(TRIM(RISK进展队列GEO回末测序数据整理!H283))="not ibd","Not IBD",TRIM(RISK进展队列GEO回末测序数据整理!H283))</f>
        <v>UC</v>
      </c>
      <c r="T284" s="22" t="str">
        <f>IF(RISK进展队列GEO回末测序数据整理!D283="女","女性",IF(RISK进展队列GEO回末测序数据整理!D283="男","男性",TRIM(RISK进展队列GEO回末测序数据整理!D283)))</f>
        <v>男性</v>
      </c>
      <c r="U284" s="22">
        <f>RISK进展队列GEO回末测序数据整理!E283</f>
        <v>16.5</v>
      </c>
      <c r="V284" s="22" t="str">
        <f>RISK进展队列GEO回末测序数据整理!F283</f>
        <v>A1b</v>
      </c>
      <c r="W284" s="22" t="str">
        <f>IF(RISK进展队列GEO回末测序数据整理!I283="Macroscopic inflammation","Macro",IF(RISK进展队列GEO回末测序数据整理!I283="Microscopic inflammation","Micro",TRIM(RISK进展队列GEO回末测序数据整理!I283)))</f>
        <v>NA</v>
      </c>
      <c r="X284" s="22" t="str">
        <f>IF(RISK进展队列GEO回末测序数据整理!J283=1,"Yes",IF(RISK进展队列GEO回末测序数据整理!J283=0,"No","N/A"))</f>
        <v>N/A</v>
      </c>
      <c r="Y284" s="22">
        <f>IF(Q284="","",IF(COUNTIF($Q$3:Q284,Q284)=1,1,0))</f>
        <v>1</v>
      </c>
      <c r="Z284" s="22">
        <f>IF(Q284="","",IF(COUNTIFS($Q$3:Q284,Q284,$R$3:R284,R284)=1,1,0))</f>
        <v>1</v>
      </c>
    </row>
    <row r="285" spans="16:26" x14ac:dyDescent="0.4">
      <c r="P285" s="22" t="str">
        <f>RISK进展队列GEO回末测序数据整理!A284</f>
        <v>GSM1598690</v>
      </c>
      <c r="Q285" s="22" t="str">
        <f>RISK进展队列GEO回末测序数据整理!B284</f>
        <v>CCFA_Risk_283</v>
      </c>
      <c r="R285" s="22" t="str">
        <f>IF(LOWER(TRIM(RISK进展队列GEO回末测序数据整理!G284))="not ibd","Not IBD",TRIM(RISK进展队列GEO回末测序数据整理!G284))</f>
        <v>UC</v>
      </c>
      <c r="S285" s="22" t="str">
        <f>IF(LOWER(TRIM(RISK进展队列GEO回末测序数据整理!H284))="not ibd","Not IBD",TRIM(RISK进展队列GEO回末测序数据整理!H284))</f>
        <v>UC</v>
      </c>
      <c r="T285" s="22" t="str">
        <f>IF(RISK进展队列GEO回末测序数据整理!D284="女","女性",IF(RISK进展队列GEO回末测序数据整理!D284="男","男性",TRIM(RISK进展队列GEO回末测序数据整理!D284)))</f>
        <v>男性</v>
      </c>
      <c r="U285" s="22">
        <f>RISK进展队列GEO回末测序数据整理!E284</f>
        <v>15.5</v>
      </c>
      <c r="V285" s="22" t="str">
        <f>RISK进展队列GEO回末测序数据整理!F284</f>
        <v>A1b</v>
      </c>
      <c r="W285" s="22" t="str">
        <f>IF(RISK进展队列GEO回末测序数据整理!I284="Macroscopic inflammation","Macro",IF(RISK进展队列GEO回末测序数据整理!I284="Microscopic inflammation","Micro",TRIM(RISK进展队列GEO回末测序数据整理!I284)))</f>
        <v>NA</v>
      </c>
      <c r="X285" s="22" t="str">
        <f>IF(RISK进展队列GEO回末测序数据整理!J284=1,"Yes",IF(RISK进展队列GEO回末测序数据整理!J284=0,"No","N/A"))</f>
        <v>N/A</v>
      </c>
      <c r="Y285" s="22">
        <f>IF(Q285="","",IF(COUNTIF($Q$3:Q285,Q285)=1,1,0))</f>
        <v>1</v>
      </c>
      <c r="Z285" s="22">
        <f>IF(Q285="","",IF(COUNTIFS($Q$3:Q285,Q285,$R$3:R285,R285)=1,1,0))</f>
        <v>1</v>
      </c>
    </row>
    <row r="286" spans="16:26" x14ac:dyDescent="0.4">
      <c r="P286" s="22" t="str">
        <f>RISK进展队列GEO回末测序数据整理!A285</f>
        <v>GSM1598691</v>
      </c>
      <c r="Q286" s="22" t="str">
        <f>RISK进展队列GEO回末测序数据整理!B285</f>
        <v>CCFA_Risk_284</v>
      </c>
      <c r="R286" s="22" t="str">
        <f>IF(LOWER(TRIM(RISK进展队列GEO回末测序数据整理!G285))="not ibd","Not IBD",TRIM(RISK进展队列GEO回末测序数据整理!G285))</f>
        <v>UC</v>
      </c>
      <c r="S286" s="22" t="str">
        <f>IF(LOWER(TRIM(RISK进展队列GEO回末测序数据整理!H285))="not ibd","Not IBD",TRIM(RISK进展队列GEO回末测序数据整理!H285))</f>
        <v>UC</v>
      </c>
      <c r="T286" s="22" t="str">
        <f>IF(RISK进展队列GEO回末测序数据整理!D285="女","女性",IF(RISK进展队列GEO回末测序数据整理!D285="男","男性",TRIM(RISK进展队列GEO回末测序数据整理!D285)))</f>
        <v>男性</v>
      </c>
      <c r="U286" s="22">
        <f>RISK进展队列GEO回末测序数据整理!E285</f>
        <v>15.33</v>
      </c>
      <c r="V286" s="22" t="str">
        <f>RISK进展队列GEO回末测序数据整理!F285</f>
        <v>A1b</v>
      </c>
      <c r="W286" s="22" t="str">
        <f>IF(RISK进展队列GEO回末测序数据整理!I285="Macroscopic inflammation","Macro",IF(RISK进展队列GEO回末测序数据整理!I285="Microscopic inflammation","Micro",TRIM(RISK进展队列GEO回末测序数据整理!I285)))</f>
        <v>NA</v>
      </c>
      <c r="X286" s="22" t="str">
        <f>IF(RISK进展队列GEO回末测序数据整理!J285=1,"Yes",IF(RISK进展队列GEO回末测序数据整理!J285=0,"No","N/A"))</f>
        <v>N/A</v>
      </c>
      <c r="Y286" s="22">
        <f>IF(Q286="","",IF(COUNTIF($Q$3:Q286,Q286)=1,1,0))</f>
        <v>1</v>
      </c>
      <c r="Z286" s="22">
        <f>IF(Q286="","",IF(COUNTIFS($Q$3:Q286,Q286,$R$3:R286,R286)=1,1,0))</f>
        <v>1</v>
      </c>
    </row>
    <row r="287" spans="16:26" x14ac:dyDescent="0.4">
      <c r="P287" s="22" t="str">
        <f>RISK进展队列GEO回末测序数据整理!A286</f>
        <v>GSM1598692</v>
      </c>
      <c r="Q287" s="22" t="str">
        <f>RISK进展队列GEO回末测序数据整理!B286</f>
        <v>CCFA_Risk_285</v>
      </c>
      <c r="R287" s="22" t="str">
        <f>IF(LOWER(TRIM(RISK进展队列GEO回末测序数据整理!G286))="not ibd","Not IBD",TRIM(RISK进展队列GEO回末测序数据整理!G286))</f>
        <v>CD</v>
      </c>
      <c r="S287" s="22" t="str">
        <f>IF(LOWER(TRIM(RISK进展队列GEO回末测序数据整理!H286))="not ibd","Not IBD",TRIM(RISK进展队列GEO回末测序数据整理!H286))</f>
        <v>cCD</v>
      </c>
      <c r="T287" s="22" t="str">
        <f>IF(RISK进展队列GEO回末测序数据整理!D286="女","女性",IF(RISK进展队列GEO回末测序数据整理!D286="男","男性",TRIM(RISK进展队列GEO回末测序数据整理!D286)))</f>
        <v>女性</v>
      </c>
      <c r="U287" s="22">
        <f>RISK进展队列GEO回末测序数据整理!E286</f>
        <v>12.67</v>
      </c>
      <c r="V287" s="22" t="str">
        <f>RISK进展队列GEO回末测序数据整理!F286</f>
        <v>A1b</v>
      </c>
      <c r="W287" s="22" t="str">
        <f>IF(RISK进展队列GEO回末测序数据整理!I286="Macroscopic inflammation","Macro",IF(RISK进展队列GEO回末测序数据整理!I286="Microscopic inflammation","Micro",TRIM(RISK进展队列GEO回末测序数据整理!I286)))</f>
        <v>Micro</v>
      </c>
      <c r="X287" s="22" t="str">
        <f>IF(RISK进展队列GEO回末测序数据整理!J286=1,"Yes",IF(RISK进展队列GEO回末测序数据整理!J286=0,"No","N/A"))</f>
        <v>No</v>
      </c>
      <c r="Y287" s="22">
        <f>IF(Q287="","",IF(COUNTIF($Q$3:Q287,Q287)=1,1,0))</f>
        <v>1</v>
      </c>
      <c r="Z287" s="22">
        <f>IF(Q287="","",IF(COUNTIFS($Q$3:Q287,Q287,$R$3:R287,R287)=1,1,0))</f>
        <v>1</v>
      </c>
    </row>
    <row r="288" spans="16:26" x14ac:dyDescent="0.4">
      <c r="P288" s="22" t="str">
        <f>RISK进展队列GEO回末测序数据整理!A287</f>
        <v>GSM1598693</v>
      </c>
      <c r="Q288" s="22" t="str">
        <f>RISK进展队列GEO回末测序数据整理!B287</f>
        <v>CCFA_Risk_286</v>
      </c>
      <c r="R288" s="22" t="str">
        <f>IF(LOWER(TRIM(RISK进展队列GEO回末测序数据整理!G287))="not ibd","Not IBD",TRIM(RISK进展队列GEO回末测序数据整理!G287))</f>
        <v>CD</v>
      </c>
      <c r="S288" s="22" t="str">
        <f>IF(LOWER(TRIM(RISK进展队列GEO回末测序数据整理!H287))="not ibd","Not IBD",TRIM(RISK进展队列GEO回末测序数据整理!H287))</f>
        <v>cCD</v>
      </c>
      <c r="T288" s="22" t="str">
        <f>IF(RISK进展队列GEO回末测序数据整理!D287="女","女性",IF(RISK进展队列GEO回末测序数据整理!D287="男","男性",TRIM(RISK进展队列GEO回末测序数据整理!D287)))</f>
        <v>男性</v>
      </c>
      <c r="U288" s="22">
        <f>RISK进展队列GEO回末测序数据整理!E287</f>
        <v>6.58</v>
      </c>
      <c r="V288" s="22" t="str">
        <f>RISK进展队列GEO回末测序数据整理!F287</f>
        <v>A1a</v>
      </c>
      <c r="W288" s="22" t="str">
        <f>IF(RISK进展队列GEO回末测序数据整理!I287="Macroscopic inflammation","Macro",IF(RISK进展队列GEO回末测序数据整理!I287="Microscopic inflammation","Micro",TRIM(RISK进展队列GEO回末测序数据整理!I287)))</f>
        <v>Micro</v>
      </c>
      <c r="X288" s="22" t="str">
        <f>IF(RISK进展队列GEO回末测序数据整理!J287=1,"Yes",IF(RISK进展队列GEO回末测序数据整理!J287=0,"No","N/A"))</f>
        <v>No</v>
      </c>
      <c r="Y288" s="22">
        <f>IF(Q288="","",IF(COUNTIF($Q$3:Q288,Q288)=1,1,0))</f>
        <v>1</v>
      </c>
      <c r="Z288" s="22">
        <f>IF(Q288="","",IF(COUNTIFS($Q$3:Q288,Q288,$R$3:R288,R288)=1,1,0))</f>
        <v>1</v>
      </c>
    </row>
    <row r="289" spans="16:26" x14ac:dyDescent="0.4">
      <c r="P289" s="22" t="str">
        <f>RISK进展队列GEO回末测序数据整理!A288</f>
        <v>GSM1598694</v>
      </c>
      <c r="Q289" s="22" t="str">
        <f>RISK进展队列GEO回末测序数据整理!B288</f>
        <v>CCFA_Risk_287</v>
      </c>
      <c r="R289" s="22" t="str">
        <f>IF(LOWER(TRIM(RISK进展队列GEO回末测序数据整理!G288))="not ibd","Not IBD",TRIM(RISK进展队列GEO回末测序数据整理!G288))</f>
        <v>CD</v>
      </c>
      <c r="S289" s="22" t="str">
        <f>IF(LOWER(TRIM(RISK进展队列GEO回末测序数据整理!H288))="not ibd","Not IBD",TRIM(RISK进展队列GEO回末测序数据整理!H288))</f>
        <v>cCD</v>
      </c>
      <c r="T289" s="22" t="str">
        <f>IF(RISK进展队列GEO回末测序数据整理!D288="女","女性",IF(RISK进展队列GEO回末测序数据整理!D288="男","男性",TRIM(RISK进展队列GEO回末测序数据整理!D288)))</f>
        <v>女性</v>
      </c>
      <c r="U289" s="22">
        <f>RISK进展队列GEO回末测序数据整理!E288</f>
        <v>16.25</v>
      </c>
      <c r="V289" s="22" t="str">
        <f>RISK进展队列GEO回末测序数据整理!F288</f>
        <v>A1b</v>
      </c>
      <c r="W289" s="22" t="str">
        <f>IF(RISK进展队列GEO回末测序数据整理!I288="Macroscopic inflammation","Macro",IF(RISK进展队列GEO回末测序数据整理!I288="Microscopic inflammation","Micro",TRIM(RISK进展队列GEO回末测序数据整理!I288)))</f>
        <v>Normal</v>
      </c>
      <c r="X289" s="22" t="str">
        <f>IF(RISK进展队列GEO回末测序数据整理!J288=1,"Yes",IF(RISK进展队列GEO回末测序数据整理!J288=0,"No","N/A"))</f>
        <v>No</v>
      </c>
      <c r="Y289" s="22">
        <f>IF(Q289="","",IF(COUNTIF($Q$3:Q289,Q289)=1,1,0))</f>
        <v>1</v>
      </c>
      <c r="Z289" s="22">
        <f>IF(Q289="","",IF(COUNTIFS($Q$3:Q289,Q289,$R$3:R289,R289)=1,1,0))</f>
        <v>1</v>
      </c>
    </row>
    <row r="290" spans="16:26" x14ac:dyDescent="0.4">
      <c r="P290" s="22" t="str">
        <f>RISK进展队列GEO回末测序数据整理!A289</f>
        <v>GSM1598695</v>
      </c>
      <c r="Q290" s="22" t="str">
        <f>RISK进展队列GEO回末测序数据整理!B289</f>
        <v>CCFA_Risk_288</v>
      </c>
      <c r="R290" s="22" t="str">
        <f>IF(LOWER(TRIM(RISK进展队列GEO回末测序数据整理!G289))="not ibd","Not IBD",TRIM(RISK进展队列GEO回末测序数据整理!G289))</f>
        <v>UC</v>
      </c>
      <c r="S290" s="22" t="str">
        <f>IF(LOWER(TRIM(RISK进展队列GEO回末测序数据整理!H289))="not ibd","Not IBD",TRIM(RISK进展队列GEO回末测序数据整理!H289))</f>
        <v>UC</v>
      </c>
      <c r="T290" s="22" t="str">
        <f>IF(RISK进展队列GEO回末测序数据整理!D289="女","女性",IF(RISK进展队列GEO回末测序数据整理!D289="男","男性",TRIM(RISK进展队列GEO回末测序数据整理!D289)))</f>
        <v>男性</v>
      </c>
      <c r="U290" s="22">
        <f>RISK进展队列GEO回末测序数据整理!E289</f>
        <v>13.75</v>
      </c>
      <c r="V290" s="22" t="str">
        <f>RISK进展队列GEO回末测序数据整理!F289</f>
        <v>A1b</v>
      </c>
      <c r="W290" s="22" t="str">
        <f>IF(RISK进展队列GEO回末测序数据整理!I289="Macroscopic inflammation","Macro",IF(RISK进展队列GEO回末测序数据整理!I289="Microscopic inflammation","Micro",TRIM(RISK进展队列GEO回末测序数据整理!I289)))</f>
        <v>NA</v>
      </c>
      <c r="X290" s="22" t="str">
        <f>IF(RISK进展队列GEO回末测序数据整理!J289=1,"Yes",IF(RISK进展队列GEO回末测序数据整理!J289=0,"No","N/A"))</f>
        <v>N/A</v>
      </c>
      <c r="Y290" s="22">
        <f>IF(Q290="","",IF(COUNTIF($Q$3:Q290,Q290)=1,1,0))</f>
        <v>1</v>
      </c>
      <c r="Z290" s="22">
        <f>IF(Q290="","",IF(COUNTIFS($Q$3:Q290,Q290,$R$3:R290,R290)=1,1,0))</f>
        <v>1</v>
      </c>
    </row>
    <row r="291" spans="16:26" x14ac:dyDescent="0.4">
      <c r="P291" s="22" t="str">
        <f>RISK进展队列GEO回末测序数据整理!A290</f>
        <v>GSM1598696</v>
      </c>
      <c r="Q291" s="22" t="str">
        <f>RISK进展队列GEO回末测序数据整理!B290</f>
        <v>CCFA_Risk_289</v>
      </c>
      <c r="R291" s="22" t="str">
        <f>IF(LOWER(TRIM(RISK进展队列GEO回末测序数据整理!G290))="not ibd","Not IBD",TRIM(RISK进展队列GEO回末测序数据整理!G290))</f>
        <v>CD</v>
      </c>
      <c r="S291" s="22" t="str">
        <f>IF(LOWER(TRIM(RISK进展队列GEO回末测序数据整理!H290))="not ibd","Not IBD",TRIM(RISK进展队列GEO回末测序数据整理!H290))</f>
        <v>cCD</v>
      </c>
      <c r="T291" s="22" t="str">
        <f>IF(RISK进展队列GEO回末测序数据整理!D290="女","女性",IF(RISK进展队列GEO回末测序数据整理!D290="男","男性",TRIM(RISK进展队列GEO回末测序数据整理!D290)))</f>
        <v>女性</v>
      </c>
      <c r="U291" s="22">
        <f>RISK进展队列GEO回末测序数据整理!E290</f>
        <v>14.08</v>
      </c>
      <c r="V291" s="22" t="str">
        <f>RISK进展队列GEO回末测序数据整理!F290</f>
        <v>A1b</v>
      </c>
      <c r="W291" s="22" t="str">
        <f>IF(RISK进展队列GEO回末测序数据整理!I290="Macroscopic inflammation","Macro",IF(RISK进展队列GEO回末测序数据整理!I290="Microscopic inflammation","Micro",TRIM(RISK进展队列GEO回末测序数据整理!I290)))</f>
        <v>Normal</v>
      </c>
      <c r="X291" s="22" t="str">
        <f>IF(RISK进展队列GEO回末测序数据整理!J290=1,"Yes",IF(RISK进展队列GEO回末测序数据整理!J290=0,"No","N/A"))</f>
        <v>No</v>
      </c>
      <c r="Y291" s="22">
        <f>IF(Q291="","",IF(COUNTIF($Q$3:Q291,Q291)=1,1,0))</f>
        <v>1</v>
      </c>
      <c r="Z291" s="22">
        <f>IF(Q291="","",IF(COUNTIFS($Q$3:Q291,Q291,$R$3:R291,R291)=1,1,0))</f>
        <v>1</v>
      </c>
    </row>
    <row r="292" spans="16:26" x14ac:dyDescent="0.4">
      <c r="P292" s="22" t="str">
        <f>RISK进展队列GEO回末测序数据整理!A291</f>
        <v>GSM1598697</v>
      </c>
      <c r="Q292" s="22" t="str">
        <f>RISK进展队列GEO回末测序数据整理!B291</f>
        <v>CCFA_Risk_290</v>
      </c>
      <c r="R292" s="22" t="str">
        <f>IF(LOWER(TRIM(RISK进展队列GEO回末测序数据整理!G291))="not ibd","Not IBD",TRIM(RISK进展队列GEO回末测序数据整理!G291))</f>
        <v>UC</v>
      </c>
      <c r="S292" s="22" t="str">
        <f>IF(LOWER(TRIM(RISK进展队列GEO回末测序数据整理!H291))="not ibd","Not IBD",TRIM(RISK进展队列GEO回末测序数据整理!H291))</f>
        <v>UC</v>
      </c>
      <c r="T292" s="22" t="str">
        <f>IF(RISK进展队列GEO回末测序数据整理!D291="女","女性",IF(RISK进展队列GEO回末测序数据整理!D291="男","男性",TRIM(RISK进展队列GEO回末测序数据整理!D291)))</f>
        <v>男性</v>
      </c>
      <c r="U292" s="22">
        <f>RISK进展队列GEO回末测序数据整理!E291</f>
        <v>13.75</v>
      </c>
      <c r="V292" s="22" t="str">
        <f>RISK进展队列GEO回末测序数据整理!F291</f>
        <v>A1b</v>
      </c>
      <c r="W292" s="22" t="str">
        <f>IF(RISK进展队列GEO回末测序数据整理!I291="Macroscopic inflammation","Macro",IF(RISK进展队列GEO回末测序数据整理!I291="Microscopic inflammation","Micro",TRIM(RISK进展队列GEO回末测序数据整理!I291)))</f>
        <v>NA</v>
      </c>
      <c r="X292" s="22" t="str">
        <f>IF(RISK进展队列GEO回末测序数据整理!J291=1,"Yes",IF(RISK进展队列GEO回末测序数据整理!J291=0,"No","N/A"))</f>
        <v>N/A</v>
      </c>
      <c r="Y292" s="22">
        <f>IF(Q292="","",IF(COUNTIF($Q$3:Q292,Q292)=1,1,0))</f>
        <v>1</v>
      </c>
      <c r="Z292" s="22">
        <f>IF(Q292="","",IF(COUNTIFS($Q$3:Q292,Q292,$R$3:R292,R292)=1,1,0))</f>
        <v>1</v>
      </c>
    </row>
    <row r="293" spans="16:26" x14ac:dyDescent="0.4">
      <c r="P293" s="22" t="str">
        <f>RISK进展队列GEO回末测序数据整理!A292</f>
        <v>GSM1598698</v>
      </c>
      <c r="Q293" s="22" t="str">
        <f>RISK进展队列GEO回末测序数据整理!B292</f>
        <v>CCFA_Risk_291</v>
      </c>
      <c r="R293" s="22" t="str">
        <f>IF(LOWER(TRIM(RISK进展队列GEO回末测序数据整理!G292))="not ibd","Not IBD",TRIM(RISK进展队列GEO回末测序数据整理!G292))</f>
        <v>UC</v>
      </c>
      <c r="S293" s="22" t="str">
        <f>IF(LOWER(TRIM(RISK进展队列GEO回末测序数据整理!H292))="not ibd","Not IBD",TRIM(RISK进展队列GEO回末测序数据整理!H292))</f>
        <v>UC</v>
      </c>
      <c r="T293" s="22" t="str">
        <f>IF(RISK进展队列GEO回末测序数据整理!D292="女","女性",IF(RISK进展队列GEO回末测序数据整理!D292="男","男性",TRIM(RISK进展队列GEO回末测序数据整理!D292)))</f>
        <v>男性</v>
      </c>
      <c r="U293" s="22">
        <f>RISK进展队列GEO回末测序数据整理!E292</f>
        <v>7.42</v>
      </c>
      <c r="V293" s="22" t="str">
        <f>RISK进展队列GEO回末测序数据整理!F292</f>
        <v>A1a</v>
      </c>
      <c r="W293" s="22" t="str">
        <f>IF(RISK进展队列GEO回末测序数据整理!I292="Macroscopic inflammation","Macro",IF(RISK进展队列GEO回末测序数据整理!I292="Microscopic inflammation","Micro",TRIM(RISK进展队列GEO回末测序数据整理!I292)))</f>
        <v>NA</v>
      </c>
      <c r="X293" s="22" t="str">
        <f>IF(RISK进展队列GEO回末测序数据整理!J292=1,"Yes",IF(RISK进展队列GEO回末测序数据整理!J292=0,"No","N/A"))</f>
        <v>N/A</v>
      </c>
      <c r="Y293" s="22">
        <f>IF(Q293="","",IF(COUNTIF($Q$3:Q293,Q293)=1,1,0))</f>
        <v>1</v>
      </c>
      <c r="Z293" s="22">
        <f>IF(Q293="","",IF(COUNTIFS($Q$3:Q293,Q293,$R$3:R293,R293)=1,1,0))</f>
        <v>1</v>
      </c>
    </row>
    <row r="294" spans="16:26" x14ac:dyDescent="0.4">
      <c r="P294" s="22" t="str">
        <f>RISK进展队列GEO回末测序数据整理!A293</f>
        <v>GSM1598699</v>
      </c>
      <c r="Q294" s="22" t="str">
        <f>RISK进展队列GEO回末测序数据整理!B293</f>
        <v>CCFA_Risk_292</v>
      </c>
      <c r="R294" s="22" t="str">
        <f>IF(LOWER(TRIM(RISK进展队列GEO回末测序数据整理!G293))="not ibd","Not IBD",TRIM(RISK进展队列GEO回末测序数据整理!G293))</f>
        <v>UC</v>
      </c>
      <c r="S294" s="22" t="str">
        <f>IF(LOWER(TRIM(RISK进展队列GEO回末测序数据整理!H293))="not ibd","Not IBD",TRIM(RISK进展队列GEO回末测序数据整理!H293))</f>
        <v>UC</v>
      </c>
      <c r="T294" s="22" t="str">
        <f>IF(RISK进展队列GEO回末测序数据整理!D293="女","女性",IF(RISK进展队列GEO回末测序数据整理!D293="男","男性",TRIM(RISK进展队列GEO回末测序数据整理!D293)))</f>
        <v>男性</v>
      </c>
      <c r="U294" s="22">
        <f>RISK进展队列GEO回末测序数据整理!E293</f>
        <v>10.83</v>
      </c>
      <c r="V294" s="22" t="str">
        <f>RISK进展队列GEO回末测序数据整理!F293</f>
        <v>A1b</v>
      </c>
      <c r="W294" s="22" t="str">
        <f>IF(RISK进展队列GEO回末测序数据整理!I293="Macroscopic inflammation","Macro",IF(RISK进展队列GEO回末测序数据整理!I293="Microscopic inflammation","Micro",TRIM(RISK进展队列GEO回末测序数据整理!I293)))</f>
        <v>NA</v>
      </c>
      <c r="X294" s="22" t="str">
        <f>IF(RISK进展队列GEO回末测序数据整理!J293=1,"Yes",IF(RISK进展队列GEO回末测序数据整理!J293=0,"No","N/A"))</f>
        <v>N/A</v>
      </c>
      <c r="Y294" s="22">
        <f>IF(Q294="","",IF(COUNTIF($Q$3:Q294,Q294)=1,1,0))</f>
        <v>1</v>
      </c>
      <c r="Z294" s="22">
        <f>IF(Q294="","",IF(COUNTIFS($Q$3:Q294,Q294,$R$3:R294,R294)=1,1,0))</f>
        <v>1</v>
      </c>
    </row>
    <row r="295" spans="16:26" x14ac:dyDescent="0.4">
      <c r="P295" s="22" t="str">
        <f>RISK进展队列GEO回末测序数据整理!A294</f>
        <v>GSM1598700</v>
      </c>
      <c r="Q295" s="22" t="str">
        <f>RISK进展队列GEO回末测序数据整理!B294</f>
        <v>CCFA_Risk_293</v>
      </c>
      <c r="R295" s="22" t="str">
        <f>IF(LOWER(TRIM(RISK进展队列GEO回末测序数据整理!G294))="not ibd","Not IBD",TRIM(RISK进展队列GEO回末测序数据整理!G294))</f>
        <v>CD</v>
      </c>
      <c r="S295" s="22" t="str">
        <f>IF(LOWER(TRIM(RISK进展队列GEO回末测序数据整理!H294))="not ibd","Not IBD",TRIM(RISK进展队列GEO回末测序数据整理!H294))</f>
        <v>cCD</v>
      </c>
      <c r="T295" s="22" t="str">
        <f>IF(RISK进展队列GEO回末测序数据整理!D294="女","女性",IF(RISK进展队列GEO回末测序数据整理!D294="男","男性",TRIM(RISK进展队列GEO回末测序数据整理!D294)))</f>
        <v>女性</v>
      </c>
      <c r="U295" s="22">
        <f>RISK进展队列GEO回末测序数据整理!E294</f>
        <v>12.5</v>
      </c>
      <c r="V295" s="22" t="str">
        <f>RISK进展队列GEO回末测序数据整理!F294</f>
        <v>A1b</v>
      </c>
      <c r="W295" s="22" t="str">
        <f>IF(RISK进展队列GEO回末测序数据整理!I294="Macroscopic inflammation","Macro",IF(RISK进展队列GEO回末测序数据整理!I294="Microscopic inflammation","Micro",TRIM(RISK进展队列GEO回末测序数据整理!I294)))</f>
        <v>Micro</v>
      </c>
      <c r="X295" s="22" t="str">
        <f>IF(RISK进展队列GEO回末测序数据整理!J294=1,"Yes",IF(RISK进展队列GEO回末测序数据整理!J294=0,"No","N/A"))</f>
        <v>No</v>
      </c>
      <c r="Y295" s="22">
        <f>IF(Q295="","",IF(COUNTIF($Q$3:Q295,Q295)=1,1,0))</f>
        <v>1</v>
      </c>
      <c r="Z295" s="22">
        <f>IF(Q295="","",IF(COUNTIFS($Q$3:Q295,Q295,$R$3:R295,R295)=1,1,0))</f>
        <v>1</v>
      </c>
    </row>
    <row r="296" spans="16:26" x14ac:dyDescent="0.4">
      <c r="P296" s="22" t="str">
        <f>RISK进展队列GEO回末测序数据整理!A295</f>
        <v>GSM1598701</v>
      </c>
      <c r="Q296" s="22" t="str">
        <f>RISK进展队列GEO回末测序数据整理!B295</f>
        <v>CCFA_Risk_294</v>
      </c>
      <c r="R296" s="22" t="str">
        <f>IF(LOWER(TRIM(RISK进展队列GEO回末测序数据整理!G295))="not ibd","Not IBD",TRIM(RISK进展队列GEO回末测序数据整理!G295))</f>
        <v>UC</v>
      </c>
      <c r="S296" s="22" t="str">
        <f>IF(LOWER(TRIM(RISK进展队列GEO回末测序数据整理!H295))="not ibd","Not IBD",TRIM(RISK进展队列GEO回末测序数据整理!H295))</f>
        <v>UC</v>
      </c>
      <c r="T296" s="22" t="str">
        <f>IF(RISK进展队列GEO回末测序数据整理!D295="女","女性",IF(RISK进展队列GEO回末测序数据整理!D295="男","男性",TRIM(RISK进展队列GEO回末测序数据整理!D295)))</f>
        <v>男性</v>
      </c>
      <c r="U296" s="22">
        <f>RISK进展队列GEO回末测序数据整理!E295</f>
        <v>15.08</v>
      </c>
      <c r="V296" s="22" t="str">
        <f>RISK进展队列GEO回末测序数据整理!F295</f>
        <v>A1b</v>
      </c>
      <c r="W296" s="22" t="str">
        <f>IF(RISK进展队列GEO回末测序数据整理!I295="Macroscopic inflammation","Macro",IF(RISK进展队列GEO回末测序数据整理!I295="Microscopic inflammation","Micro",TRIM(RISK进展队列GEO回末测序数据整理!I295)))</f>
        <v>NA</v>
      </c>
      <c r="X296" s="22" t="str">
        <f>IF(RISK进展队列GEO回末测序数据整理!J295=1,"Yes",IF(RISK进展队列GEO回末测序数据整理!J295=0,"No","N/A"))</f>
        <v>N/A</v>
      </c>
      <c r="Y296" s="22">
        <f>IF(Q296="","",IF(COUNTIF($Q$3:Q296,Q296)=1,1,0))</f>
        <v>1</v>
      </c>
      <c r="Z296" s="22">
        <f>IF(Q296="","",IF(COUNTIFS($Q$3:Q296,Q296,$R$3:R296,R296)=1,1,0))</f>
        <v>1</v>
      </c>
    </row>
    <row r="297" spans="16:26" x14ac:dyDescent="0.4">
      <c r="P297" s="22" t="str">
        <f>RISK进展队列GEO回末测序数据整理!A296</f>
        <v>GSM1598702</v>
      </c>
      <c r="Q297" s="22" t="str">
        <f>RISK进展队列GEO回末测序数据整理!B296</f>
        <v>CCFA_Risk_295</v>
      </c>
      <c r="R297" s="22" t="str">
        <f>IF(LOWER(TRIM(RISK进展队列GEO回末测序数据整理!G296))="not ibd","Not IBD",TRIM(RISK进展队列GEO回末测序数据整理!G296))</f>
        <v>UC</v>
      </c>
      <c r="S297" s="22" t="str">
        <f>IF(LOWER(TRIM(RISK进展队列GEO回末测序数据整理!H296))="not ibd","Not IBD",TRIM(RISK进展队列GEO回末测序数据整理!H296))</f>
        <v>UC</v>
      </c>
      <c r="T297" s="22" t="str">
        <f>IF(RISK进展队列GEO回末测序数据整理!D296="女","女性",IF(RISK进展队列GEO回末测序数据整理!D296="男","男性",TRIM(RISK进展队列GEO回末测序数据整理!D296)))</f>
        <v>男性</v>
      </c>
      <c r="U297" s="22">
        <f>RISK进展队列GEO回末测序数据整理!E296</f>
        <v>9.42</v>
      </c>
      <c r="V297" s="22" t="str">
        <f>RISK进展队列GEO回末测序数据整理!F296</f>
        <v>A1a</v>
      </c>
      <c r="W297" s="22" t="str">
        <f>IF(RISK进展队列GEO回末测序数据整理!I296="Macroscopic inflammation","Macro",IF(RISK进展队列GEO回末测序数据整理!I296="Microscopic inflammation","Micro",TRIM(RISK进展队列GEO回末测序数据整理!I296)))</f>
        <v>NA</v>
      </c>
      <c r="X297" s="22" t="str">
        <f>IF(RISK进展队列GEO回末测序数据整理!J296=1,"Yes",IF(RISK进展队列GEO回末测序数据整理!J296=0,"No","N/A"))</f>
        <v>N/A</v>
      </c>
      <c r="Y297" s="22">
        <f>IF(Q297="","",IF(COUNTIF($Q$3:Q297,Q297)=1,1,0))</f>
        <v>1</v>
      </c>
      <c r="Z297" s="22">
        <f>IF(Q297="","",IF(COUNTIFS($Q$3:Q297,Q297,$R$3:R297,R297)=1,1,0))</f>
        <v>1</v>
      </c>
    </row>
    <row r="298" spans="16:26" x14ac:dyDescent="0.4">
      <c r="P298" s="22" t="str">
        <f>RISK进展队列GEO回末测序数据整理!A297</f>
        <v>GSM1598703</v>
      </c>
      <c r="Q298" s="22" t="str">
        <f>RISK进展队列GEO回末测序数据整理!B297</f>
        <v>CCFA_Risk_296</v>
      </c>
      <c r="R298" s="22" t="str">
        <f>IF(LOWER(TRIM(RISK进展队列GEO回末测序数据整理!G297))="not ibd","Not IBD",TRIM(RISK进展队列GEO回末测序数据整理!G297))</f>
        <v>CD</v>
      </c>
      <c r="S298" s="22" t="str">
        <f>IF(LOWER(TRIM(RISK进展队列GEO回末测序数据整理!H297))="not ibd","Not IBD",TRIM(RISK进展队列GEO回末测序数据整理!H297))</f>
        <v>iCD</v>
      </c>
      <c r="T298" s="22" t="str">
        <f>IF(RISK进展队列GEO回末测序数据整理!D297="女","女性",IF(RISK进展队列GEO回末测序数据整理!D297="男","男性",TRIM(RISK进展队列GEO回末测序数据整理!D297)))</f>
        <v>男性</v>
      </c>
      <c r="U298" s="22">
        <f>RISK进展队列GEO回末测序数据整理!E297</f>
        <v>10.58</v>
      </c>
      <c r="V298" s="22" t="str">
        <f>RISK进展队列GEO回末测序数据整理!F297</f>
        <v>A1b</v>
      </c>
      <c r="W298" s="22" t="str">
        <f>IF(RISK进展队列GEO回末测序数据整理!I297="Macroscopic inflammation","Macro",IF(RISK进展队列GEO回末测序数据整理!I297="Microscopic inflammation","Micro",TRIM(RISK进展队列GEO回末测序数据整理!I297)))</f>
        <v>Macro</v>
      </c>
      <c r="X298" s="22" t="str">
        <f>IF(RISK进展队列GEO回末测序数据整理!J297=1,"Yes",IF(RISK进展队列GEO回末测序数据整理!J297=0,"No","N/A"))</f>
        <v>Yes</v>
      </c>
      <c r="Y298" s="22">
        <f>IF(Q298="","",IF(COUNTIF($Q$3:Q298,Q298)=1,1,0))</f>
        <v>1</v>
      </c>
      <c r="Z298" s="22">
        <f>IF(Q298="","",IF(COUNTIFS($Q$3:Q298,Q298,$R$3:R298,R298)=1,1,0))</f>
        <v>1</v>
      </c>
    </row>
    <row r="299" spans="16:26" x14ac:dyDescent="0.4">
      <c r="P299" s="22" t="str">
        <f>RISK进展队列GEO回末测序数据整理!A298</f>
        <v>GSM1598704</v>
      </c>
      <c r="Q299" s="22" t="str">
        <f>RISK进展队列GEO回末测序数据整理!B298</f>
        <v>CCFA_Risk_297</v>
      </c>
      <c r="R299" s="22" t="str">
        <f>IF(LOWER(TRIM(RISK进展队列GEO回末测序数据整理!G298))="not ibd","Not IBD",TRIM(RISK进展队列GEO回末测序数据整理!G298))</f>
        <v>UC</v>
      </c>
      <c r="S299" s="22" t="str">
        <f>IF(LOWER(TRIM(RISK进展队列GEO回末测序数据整理!H298))="not ibd","Not IBD",TRIM(RISK进展队列GEO回末测序数据整理!H298))</f>
        <v>UC</v>
      </c>
      <c r="T299" s="22" t="str">
        <f>IF(RISK进展队列GEO回末测序数据整理!D298="女","女性",IF(RISK进展队列GEO回末测序数据整理!D298="男","男性",TRIM(RISK进展队列GEO回末测序数据整理!D298)))</f>
        <v>男性</v>
      </c>
      <c r="U299" s="22">
        <f>RISK进展队列GEO回末测序数据整理!E298</f>
        <v>15.83</v>
      </c>
      <c r="V299" s="22" t="str">
        <f>RISK进展队列GEO回末测序数据整理!F298</f>
        <v>A1b</v>
      </c>
      <c r="W299" s="22" t="str">
        <f>IF(RISK进展队列GEO回末测序数据整理!I298="Macroscopic inflammation","Macro",IF(RISK进展队列GEO回末测序数据整理!I298="Microscopic inflammation","Micro",TRIM(RISK进展队列GEO回末测序数据整理!I298)))</f>
        <v>NA</v>
      </c>
      <c r="X299" s="22" t="str">
        <f>IF(RISK进展队列GEO回末测序数据整理!J298=1,"Yes",IF(RISK进展队列GEO回末测序数据整理!J298=0,"No","N/A"))</f>
        <v>N/A</v>
      </c>
      <c r="Y299" s="22">
        <f>IF(Q299="","",IF(COUNTIF($Q$3:Q299,Q299)=1,1,0))</f>
        <v>1</v>
      </c>
      <c r="Z299" s="22">
        <f>IF(Q299="","",IF(COUNTIFS($Q$3:Q299,Q299,$R$3:R299,R299)=1,1,0))</f>
        <v>1</v>
      </c>
    </row>
    <row r="300" spans="16:26" x14ac:dyDescent="0.4">
      <c r="P300" s="22" t="str">
        <f>RISK进展队列GEO回末测序数据整理!A299</f>
        <v>GSM1598705</v>
      </c>
      <c r="Q300" s="22" t="str">
        <f>RISK进展队列GEO回末测序数据整理!B299</f>
        <v>CCFA_Risk_298</v>
      </c>
      <c r="R300" s="22" t="str">
        <f>IF(LOWER(TRIM(RISK进展队列GEO回末测序数据整理!G299))="not ibd","Not IBD",TRIM(RISK进展队列GEO回末测序数据整理!G299))</f>
        <v>UC</v>
      </c>
      <c r="S300" s="22" t="str">
        <f>IF(LOWER(TRIM(RISK进展队列GEO回末测序数据整理!H299))="not ibd","Not IBD",TRIM(RISK进展队列GEO回末测序数据整理!H299))</f>
        <v>UC</v>
      </c>
      <c r="T300" s="22" t="str">
        <f>IF(RISK进展队列GEO回末测序数据整理!D299="女","女性",IF(RISK进展队列GEO回末测序数据整理!D299="男","男性",TRIM(RISK进展队列GEO回末测序数据整理!D299)))</f>
        <v>男性</v>
      </c>
      <c r="U300" s="22">
        <f>RISK进展队列GEO回末测序数据整理!E299</f>
        <v>15.92</v>
      </c>
      <c r="V300" s="22" t="str">
        <f>RISK进展队列GEO回末测序数据整理!F299</f>
        <v>A1b</v>
      </c>
      <c r="W300" s="22" t="str">
        <f>IF(RISK进展队列GEO回末测序数据整理!I299="Macroscopic inflammation","Macro",IF(RISK进展队列GEO回末测序数据整理!I299="Microscopic inflammation","Micro",TRIM(RISK进展队列GEO回末测序数据整理!I299)))</f>
        <v>NA</v>
      </c>
      <c r="X300" s="22" t="str">
        <f>IF(RISK进展队列GEO回末测序数据整理!J299=1,"Yes",IF(RISK进展队列GEO回末测序数据整理!J299=0,"No","N/A"))</f>
        <v>N/A</v>
      </c>
      <c r="Y300" s="22">
        <f>IF(Q300="","",IF(COUNTIF($Q$3:Q300,Q300)=1,1,0))</f>
        <v>1</v>
      </c>
      <c r="Z300" s="22">
        <f>IF(Q300="","",IF(COUNTIFS($Q$3:Q300,Q300,$R$3:R300,R300)=1,1,0))</f>
        <v>1</v>
      </c>
    </row>
    <row r="301" spans="16:26" x14ac:dyDescent="0.4">
      <c r="P301" s="22" t="str">
        <f>RISK进展队列GEO回末测序数据整理!A300</f>
        <v>GSM1598706</v>
      </c>
      <c r="Q301" s="22" t="str">
        <f>RISK进展队列GEO回末测序数据整理!B300</f>
        <v>CCFA_Risk_299</v>
      </c>
      <c r="R301" s="22" t="str">
        <f>IF(LOWER(TRIM(RISK进展队列GEO回末测序数据整理!G300))="not ibd","Not IBD",TRIM(RISK进展队列GEO回末测序数据整理!G300))</f>
        <v>CD</v>
      </c>
      <c r="S301" s="22" t="str">
        <f>IF(LOWER(TRIM(RISK进展队列GEO回末测序数据整理!H300))="not ibd","Not IBD",TRIM(RISK进展队列GEO回末测序数据整理!H300))</f>
        <v>cCD</v>
      </c>
      <c r="T301" s="22" t="str">
        <f>IF(RISK进展队列GEO回末测序数据整理!D300="女","女性",IF(RISK进展队列GEO回末测序数据整理!D300="男","男性",TRIM(RISK进展队列GEO回末测序数据整理!D300)))</f>
        <v>男性</v>
      </c>
      <c r="U301" s="22">
        <f>RISK进展队列GEO回末测序数据整理!E300</f>
        <v>12.75</v>
      </c>
      <c r="V301" s="22" t="str">
        <f>RISK进展队列GEO回末测序数据整理!F300</f>
        <v>A1b</v>
      </c>
      <c r="W301" s="22" t="str">
        <f>IF(RISK进展队列GEO回末测序数据整理!I300="Macroscopic inflammation","Macro",IF(RISK进展队列GEO回末测序数据整理!I300="Microscopic inflammation","Micro",TRIM(RISK进展队列GEO回末测序数据整理!I300)))</f>
        <v>Normal</v>
      </c>
      <c r="X301" s="22" t="str">
        <f>IF(RISK进展队列GEO回末测序数据整理!J300=1,"Yes",IF(RISK进展队列GEO回末测序数据整理!J300=0,"No","N/A"))</f>
        <v>No</v>
      </c>
      <c r="Y301" s="22">
        <f>IF(Q301="","",IF(COUNTIF($Q$3:Q301,Q301)=1,1,0))</f>
        <v>1</v>
      </c>
      <c r="Z301" s="22">
        <f>IF(Q301="","",IF(COUNTIFS($Q$3:Q301,Q301,$R$3:R301,R301)=1,1,0))</f>
        <v>1</v>
      </c>
    </row>
    <row r="302" spans="16:26" x14ac:dyDescent="0.4">
      <c r="P302" s="22" t="str">
        <f>RISK进展队列GEO回末测序数据整理!A301</f>
        <v>GSM1598707</v>
      </c>
      <c r="Q302" s="22" t="str">
        <f>RISK进展队列GEO回末测序数据整理!B301</f>
        <v>CCFA_Risk_300</v>
      </c>
      <c r="R302" s="22" t="str">
        <f>IF(LOWER(TRIM(RISK进展队列GEO回末测序数据整理!G301))="not ibd","Not IBD",TRIM(RISK进展队列GEO回末测序数据整理!G301))</f>
        <v>CD</v>
      </c>
      <c r="S302" s="22" t="str">
        <f>IF(LOWER(TRIM(RISK进展队列GEO回末测序数据整理!H301))="not ibd","Not IBD",TRIM(RISK进展队列GEO回末测序数据整理!H301))</f>
        <v>iCD</v>
      </c>
      <c r="T302" s="22" t="str">
        <f>IF(RISK进展队列GEO回末测序数据整理!D301="女","女性",IF(RISK进展队列GEO回末测序数据整理!D301="男","男性",TRIM(RISK进展队列GEO回末测序数据整理!D301)))</f>
        <v>男性</v>
      </c>
      <c r="U302" s="22">
        <f>RISK进展队列GEO回末测序数据整理!E301</f>
        <v>13</v>
      </c>
      <c r="V302" s="22" t="str">
        <f>RISK进展队列GEO回末测序数据整理!F301</f>
        <v>A1b</v>
      </c>
      <c r="W302" s="22" t="str">
        <f>IF(RISK进展队列GEO回末测序数据整理!I301="Macroscopic inflammation","Macro",IF(RISK进展队列GEO回末测序数据整理!I301="Microscopic inflammation","Micro",TRIM(RISK进展队列GEO回末测序数据整理!I301)))</f>
        <v>Macro</v>
      </c>
      <c r="X302" s="22" t="str">
        <f>IF(RISK进展队列GEO回末测序数据整理!J301=1,"Yes",IF(RISK进展队列GEO回末测序数据整理!J301=0,"No","N/A"))</f>
        <v>Yes</v>
      </c>
      <c r="Y302" s="22">
        <f>IF(Q302="","",IF(COUNTIF($Q$3:Q302,Q302)=1,1,0))</f>
        <v>1</v>
      </c>
      <c r="Z302" s="22">
        <f>IF(Q302="","",IF(COUNTIFS($Q$3:Q302,Q302,$R$3:R302,R302)=1,1,0))</f>
        <v>1</v>
      </c>
    </row>
    <row r="303" spans="16:26" x14ac:dyDescent="0.4">
      <c r="P303" s="22" t="str">
        <f>RISK进展队列GEO回末测序数据整理!A302</f>
        <v>GSM1598708</v>
      </c>
      <c r="Q303" s="22" t="str">
        <f>RISK进展队列GEO回末测序数据整理!B302</f>
        <v>CCFA_Risk_301</v>
      </c>
      <c r="R303" s="22" t="str">
        <f>IF(LOWER(TRIM(RISK进展队列GEO回末测序数据整理!G302))="not ibd","Not IBD",TRIM(RISK进展队列GEO回末测序数据整理!G302))</f>
        <v>UC</v>
      </c>
      <c r="S303" s="22" t="str">
        <f>IF(LOWER(TRIM(RISK进展队列GEO回末测序数据整理!H302))="not ibd","Not IBD",TRIM(RISK进展队列GEO回末测序数据整理!H302))</f>
        <v>UC</v>
      </c>
      <c r="T303" s="22" t="str">
        <f>IF(RISK进展队列GEO回末测序数据整理!D302="女","女性",IF(RISK进展队列GEO回末测序数据整理!D302="男","男性",TRIM(RISK进展队列GEO回末测序数据整理!D302)))</f>
        <v>女性</v>
      </c>
      <c r="U303" s="22">
        <f>RISK进展队列GEO回末测序数据整理!E302</f>
        <v>16.670000000000002</v>
      </c>
      <c r="V303" s="22" t="str">
        <f>RISK进展队列GEO回末测序数据整理!F302</f>
        <v>A1b</v>
      </c>
      <c r="W303" s="22" t="str">
        <f>IF(RISK进展队列GEO回末测序数据整理!I302="Macroscopic inflammation","Macro",IF(RISK进展队列GEO回末测序数据整理!I302="Microscopic inflammation","Micro",TRIM(RISK进展队列GEO回末测序数据整理!I302)))</f>
        <v>NA</v>
      </c>
      <c r="X303" s="22" t="str">
        <f>IF(RISK进展队列GEO回末测序数据整理!J302=1,"Yes",IF(RISK进展队列GEO回末测序数据整理!J302=0,"No","N/A"))</f>
        <v>N/A</v>
      </c>
      <c r="Y303" s="22">
        <f>IF(Q303="","",IF(COUNTIF($Q$3:Q303,Q303)=1,1,0))</f>
        <v>1</v>
      </c>
      <c r="Z303" s="22">
        <f>IF(Q303="","",IF(COUNTIFS($Q$3:Q303,Q303,$R$3:R303,R303)=1,1,0))</f>
        <v>1</v>
      </c>
    </row>
    <row r="304" spans="16:26" x14ac:dyDescent="0.4">
      <c r="P304" s="22" t="str">
        <f>RISK进展队列GEO回末测序数据整理!A303</f>
        <v>GSM1598709</v>
      </c>
      <c r="Q304" s="22" t="str">
        <f>RISK进展队列GEO回末测序数据整理!B303</f>
        <v>CCFA_Risk_302</v>
      </c>
      <c r="R304" s="22" t="str">
        <f>IF(LOWER(TRIM(RISK进展队列GEO回末测序数据整理!G303))="not ibd","Not IBD",TRIM(RISK进展队列GEO回末测序数据整理!G303))</f>
        <v>UC</v>
      </c>
      <c r="S304" s="22" t="str">
        <f>IF(LOWER(TRIM(RISK进展队列GEO回末测序数据整理!H303))="not ibd","Not IBD",TRIM(RISK进展队列GEO回末测序数据整理!H303))</f>
        <v>UC</v>
      </c>
      <c r="T304" s="22" t="str">
        <f>IF(RISK进展队列GEO回末测序数据整理!D303="女","女性",IF(RISK进展队列GEO回末测序数据整理!D303="男","男性",TRIM(RISK进展队列GEO回末测序数据整理!D303)))</f>
        <v>男性</v>
      </c>
      <c r="U304" s="22">
        <f>RISK进展队列GEO回末测序数据整理!E303</f>
        <v>17.079999999999998</v>
      </c>
      <c r="V304" s="22" t="str">
        <f>RISK进展队列GEO回末测序数据整理!F303</f>
        <v>A1b</v>
      </c>
      <c r="W304" s="22" t="str">
        <f>IF(RISK进展队列GEO回末测序数据整理!I303="Macroscopic inflammation","Macro",IF(RISK进展队列GEO回末测序数据整理!I303="Microscopic inflammation","Micro",TRIM(RISK进展队列GEO回末测序数据整理!I303)))</f>
        <v>NA</v>
      </c>
      <c r="X304" s="22" t="str">
        <f>IF(RISK进展队列GEO回末测序数据整理!J303=1,"Yes",IF(RISK进展队列GEO回末测序数据整理!J303=0,"No","N/A"))</f>
        <v>N/A</v>
      </c>
      <c r="Y304" s="22">
        <f>IF(Q304="","",IF(COUNTIF($Q$3:Q304,Q304)=1,1,0))</f>
        <v>1</v>
      </c>
      <c r="Z304" s="22">
        <f>IF(Q304="","",IF(COUNTIFS($Q$3:Q304,Q304,$R$3:R304,R304)=1,1,0))</f>
        <v>1</v>
      </c>
    </row>
    <row r="305" spans="16:26" x14ac:dyDescent="0.4">
      <c r="P305" s="22" t="str">
        <f>RISK进展队列GEO回末测序数据整理!A304</f>
        <v>GSM1598710</v>
      </c>
      <c r="Q305" s="22" t="str">
        <f>RISK进展队列GEO回末测序数据整理!B304</f>
        <v>CCFA_Risk_303</v>
      </c>
      <c r="R305" s="22" t="str">
        <f>IF(LOWER(TRIM(RISK进展队列GEO回末测序数据整理!G304))="not ibd","Not IBD",TRIM(RISK进展队列GEO回末测序数据整理!G304))</f>
        <v>CD</v>
      </c>
      <c r="S305" s="22" t="str">
        <f>IF(LOWER(TRIM(RISK进展队列GEO回末测序数据整理!H304))="not ibd","Not IBD",TRIM(RISK进展队列GEO回末测序数据整理!H304))</f>
        <v>iCD</v>
      </c>
      <c r="T305" s="22" t="str">
        <f>IF(RISK进展队列GEO回末测序数据整理!D304="女","女性",IF(RISK进展队列GEO回末测序数据整理!D304="男","男性",TRIM(RISK进展队列GEO回末测序数据整理!D304)))</f>
        <v>男性</v>
      </c>
      <c r="U305" s="22">
        <f>RISK进展队列GEO回末测序数据整理!E304</f>
        <v>15.33</v>
      </c>
      <c r="V305" s="22" t="str">
        <f>RISK进展队列GEO回末测序数据整理!F304</f>
        <v>A1b</v>
      </c>
      <c r="W305" s="22" t="str">
        <f>IF(RISK进展队列GEO回末测序数据整理!I304="Macroscopic inflammation","Macro",IF(RISK进展队列GEO回末测序数据整理!I304="Microscopic inflammation","Micro",TRIM(RISK进展队列GEO回末测序数据整理!I304)))</f>
        <v>Micro</v>
      </c>
      <c r="X305" s="22" t="str">
        <f>IF(RISK进展队列GEO回末测序数据整理!J304=1,"Yes",IF(RISK进展队列GEO回末测序数据整理!J304=0,"No","N/A"))</f>
        <v>No</v>
      </c>
      <c r="Y305" s="22">
        <f>IF(Q305="","",IF(COUNTIF($Q$3:Q305,Q305)=1,1,0))</f>
        <v>1</v>
      </c>
      <c r="Z305" s="22">
        <f>IF(Q305="","",IF(COUNTIFS($Q$3:Q305,Q305,$R$3:R305,R305)=1,1,0))</f>
        <v>1</v>
      </c>
    </row>
    <row r="306" spans="16:26" x14ac:dyDescent="0.4">
      <c r="P306" s="22" t="str">
        <f>RISK进展队列GEO回末测序数据整理!A305</f>
        <v>GSM1598711</v>
      </c>
      <c r="Q306" s="22" t="str">
        <f>RISK进展队列GEO回末测序数据整理!B305</f>
        <v>CCFA_Risk_304</v>
      </c>
      <c r="R306" s="22" t="str">
        <f>IF(LOWER(TRIM(RISK进展队列GEO回末测序数据整理!G305))="not ibd","Not IBD",TRIM(RISK进展队列GEO回末测序数据整理!G305))</f>
        <v>CD</v>
      </c>
      <c r="S306" s="22" t="str">
        <f>IF(LOWER(TRIM(RISK进展队列GEO回末测序数据整理!H305))="not ibd","Not IBD",TRIM(RISK进展队列GEO回末测序数据整理!H305))</f>
        <v>cCD</v>
      </c>
      <c r="T306" s="22" t="str">
        <f>IF(RISK进展队列GEO回末测序数据整理!D305="女","女性",IF(RISK进展队列GEO回末测序数据整理!D305="男","男性",TRIM(RISK进展队列GEO回末测序数据整理!D305)))</f>
        <v>男性</v>
      </c>
      <c r="U306" s="22">
        <f>RISK进展队列GEO回末测序数据整理!E305</f>
        <v>10.83</v>
      </c>
      <c r="V306" s="22" t="str">
        <f>RISK进展队列GEO回末测序数据整理!F305</f>
        <v>A1b</v>
      </c>
      <c r="W306" s="22" t="str">
        <f>IF(RISK进展队列GEO回末测序数据整理!I305="Macroscopic inflammation","Macro",IF(RISK进展队列GEO回末测序数据整理!I305="Microscopic inflammation","Micro",TRIM(RISK进展队列GEO回末测序数据整理!I305)))</f>
        <v>Micro</v>
      </c>
      <c r="X306" s="22" t="str">
        <f>IF(RISK进展队列GEO回末测序数据整理!J305=1,"Yes",IF(RISK进展队列GEO回末测序数据整理!J305=0,"No","N/A"))</f>
        <v>No</v>
      </c>
      <c r="Y306" s="22">
        <f>IF(Q306="","",IF(COUNTIF($Q$3:Q306,Q306)=1,1,0))</f>
        <v>1</v>
      </c>
      <c r="Z306" s="22">
        <f>IF(Q306="","",IF(COUNTIFS($Q$3:Q306,Q306,$R$3:R306,R306)=1,1,0))</f>
        <v>1</v>
      </c>
    </row>
    <row r="307" spans="16:26" x14ac:dyDescent="0.4">
      <c r="P307" s="22" t="str">
        <f>RISK进展队列GEO回末测序数据整理!A306</f>
        <v>GSM1598712</v>
      </c>
      <c r="Q307" s="22" t="str">
        <f>RISK进展队列GEO回末测序数据整理!B306</f>
        <v>CCFA_Risk_305</v>
      </c>
      <c r="R307" s="22" t="str">
        <f>IF(LOWER(TRIM(RISK进展队列GEO回末测序数据整理!G306))="not ibd","Not IBD",TRIM(RISK进展队列GEO回末测序数据整理!G306))</f>
        <v>UC</v>
      </c>
      <c r="S307" s="22" t="str">
        <f>IF(LOWER(TRIM(RISK进展队列GEO回末测序数据整理!H306))="not ibd","Not IBD",TRIM(RISK进展队列GEO回末测序数据整理!H306))</f>
        <v>UC</v>
      </c>
      <c r="T307" s="22" t="str">
        <f>IF(RISK进展队列GEO回末测序数据整理!D306="女","女性",IF(RISK进展队列GEO回末测序数据整理!D306="男","男性",TRIM(RISK进展队列GEO回末测序数据整理!D306)))</f>
        <v>男性</v>
      </c>
      <c r="U307" s="22">
        <f>RISK进展队列GEO回末测序数据整理!E306</f>
        <v>13.58</v>
      </c>
      <c r="V307" s="22" t="str">
        <f>RISK进展队列GEO回末测序数据整理!F306</f>
        <v>A1b</v>
      </c>
      <c r="W307" s="22" t="str">
        <f>IF(RISK进展队列GEO回末测序数据整理!I306="Macroscopic inflammation","Macro",IF(RISK进展队列GEO回末测序数据整理!I306="Microscopic inflammation","Micro",TRIM(RISK进展队列GEO回末测序数据整理!I306)))</f>
        <v>NA</v>
      </c>
      <c r="X307" s="22" t="str">
        <f>IF(RISK进展队列GEO回末测序数据整理!J306=1,"Yes",IF(RISK进展队列GEO回末测序数据整理!J306=0,"No","N/A"))</f>
        <v>N/A</v>
      </c>
      <c r="Y307" s="22">
        <f>IF(Q307="","",IF(COUNTIF($Q$3:Q307,Q307)=1,1,0))</f>
        <v>1</v>
      </c>
      <c r="Z307" s="22">
        <f>IF(Q307="","",IF(COUNTIFS($Q$3:Q307,Q307,$R$3:R307,R307)=1,1,0))</f>
        <v>1</v>
      </c>
    </row>
    <row r="308" spans="16:26" x14ac:dyDescent="0.4">
      <c r="P308" s="22" t="str">
        <f>RISK进展队列GEO回末测序数据整理!A307</f>
        <v>GSM1598713</v>
      </c>
      <c r="Q308" s="22" t="str">
        <f>RISK进展队列GEO回末测序数据整理!B307</f>
        <v>CCFA_Risk_306</v>
      </c>
      <c r="R308" s="22" t="str">
        <f>IF(LOWER(TRIM(RISK进展队列GEO回末测序数据整理!G307))="not ibd","Not IBD",TRIM(RISK进展队列GEO回末测序数据整理!G307))</f>
        <v>UC</v>
      </c>
      <c r="S308" s="22" t="str">
        <f>IF(LOWER(TRIM(RISK进展队列GEO回末测序数据整理!H307))="not ibd","Not IBD",TRIM(RISK进展队列GEO回末测序数据整理!H307))</f>
        <v>UC</v>
      </c>
      <c r="T308" s="22" t="str">
        <f>IF(RISK进展队列GEO回末测序数据整理!D307="女","女性",IF(RISK进展队列GEO回末测序数据整理!D307="男","男性",TRIM(RISK进展队列GEO回末测序数据整理!D307)))</f>
        <v>女性</v>
      </c>
      <c r="U308" s="22">
        <f>RISK进展队列GEO回末测序数据整理!E307</f>
        <v>16.329999999999998</v>
      </c>
      <c r="V308" s="22" t="str">
        <f>RISK进展队列GEO回末测序数据整理!F307</f>
        <v>A1b</v>
      </c>
      <c r="W308" s="22" t="str">
        <f>IF(RISK进展队列GEO回末测序数据整理!I307="Macroscopic inflammation","Macro",IF(RISK进展队列GEO回末测序数据整理!I307="Microscopic inflammation","Micro",TRIM(RISK进展队列GEO回末测序数据整理!I307)))</f>
        <v>NA</v>
      </c>
      <c r="X308" s="22" t="str">
        <f>IF(RISK进展队列GEO回末测序数据整理!J307=1,"Yes",IF(RISK进展队列GEO回末测序数据整理!J307=0,"No","N/A"))</f>
        <v>N/A</v>
      </c>
      <c r="Y308" s="22">
        <f>IF(Q308="","",IF(COUNTIF($Q$3:Q308,Q308)=1,1,0))</f>
        <v>1</v>
      </c>
      <c r="Z308" s="22">
        <f>IF(Q308="","",IF(COUNTIFS($Q$3:Q308,Q308,$R$3:R308,R308)=1,1,0))</f>
        <v>1</v>
      </c>
    </row>
    <row r="309" spans="16:26" x14ac:dyDescent="0.4">
      <c r="P309" s="22" t="str">
        <f>RISK进展队列GEO回末测序数据整理!A308</f>
        <v>GSM1598714</v>
      </c>
      <c r="Q309" s="22" t="str">
        <f>RISK进展队列GEO回末测序数据整理!B308</f>
        <v>CCFA_Risk_307</v>
      </c>
      <c r="R309" s="22" t="str">
        <f>IF(LOWER(TRIM(RISK进展队列GEO回末测序数据整理!G308))="not ibd","Not IBD",TRIM(RISK进展队列GEO回末测序数据整理!G308))</f>
        <v>CD</v>
      </c>
      <c r="S309" s="22" t="str">
        <f>IF(LOWER(TRIM(RISK进展队列GEO回末测序数据整理!H308))="not ibd","Not IBD",TRIM(RISK进展队列GEO回末测序数据整理!H308))</f>
        <v>cCD</v>
      </c>
      <c r="T309" s="22" t="str">
        <f>IF(RISK进展队列GEO回末测序数据整理!D308="女","女性",IF(RISK进展队列GEO回末测序数据整理!D308="男","男性",TRIM(RISK进展队列GEO回末测序数据整理!D308)))</f>
        <v>男性</v>
      </c>
      <c r="U309" s="22">
        <f>RISK进展队列GEO回末测序数据整理!E308</f>
        <v>11.83</v>
      </c>
      <c r="V309" s="22" t="str">
        <f>RISK进展队列GEO回末测序数据整理!F308</f>
        <v>A1b</v>
      </c>
      <c r="W309" s="22" t="str">
        <f>IF(RISK进展队列GEO回末测序数据整理!I308="Macroscopic inflammation","Macro",IF(RISK进展队列GEO回末测序数据整理!I308="Microscopic inflammation","Micro",TRIM(RISK进展队列GEO回末测序数据整理!I308)))</f>
        <v>Micro</v>
      </c>
      <c r="X309" s="22" t="str">
        <f>IF(RISK进展队列GEO回末测序数据整理!J308=1,"Yes",IF(RISK进展队列GEO回末测序数据整理!J308=0,"No","N/A"))</f>
        <v>No</v>
      </c>
      <c r="Y309" s="22">
        <f>IF(Q309="","",IF(COUNTIF($Q$3:Q309,Q309)=1,1,0))</f>
        <v>1</v>
      </c>
      <c r="Z309" s="22">
        <f>IF(Q309="","",IF(COUNTIFS($Q$3:Q309,Q309,$R$3:R309,R309)=1,1,0))</f>
        <v>1</v>
      </c>
    </row>
    <row r="310" spans="16:26" x14ac:dyDescent="0.4">
      <c r="P310" s="22" t="str">
        <f>RISK进展队列GEO回末测序数据整理!A309</f>
        <v>GSM1598715</v>
      </c>
      <c r="Q310" s="22" t="str">
        <f>RISK进展队列GEO回末测序数据整理!B309</f>
        <v>CCFA_Risk_308</v>
      </c>
      <c r="R310" s="22" t="str">
        <f>IF(LOWER(TRIM(RISK进展队列GEO回末测序数据整理!G309))="not ibd","Not IBD",TRIM(RISK进展队列GEO回末测序数据整理!G309))</f>
        <v>UC</v>
      </c>
      <c r="S310" s="22" t="str">
        <f>IF(LOWER(TRIM(RISK进展队列GEO回末测序数据整理!H309))="not ibd","Not IBD",TRIM(RISK进展队列GEO回末测序数据整理!H309))</f>
        <v>UC</v>
      </c>
      <c r="T310" s="22" t="str">
        <f>IF(RISK进展队列GEO回末测序数据整理!D309="女","女性",IF(RISK进展队列GEO回末测序数据整理!D309="男","男性",TRIM(RISK进展队列GEO回末测序数据整理!D309)))</f>
        <v>男性</v>
      </c>
      <c r="U310" s="22">
        <f>RISK进展队列GEO回末测序数据整理!E309</f>
        <v>15.75</v>
      </c>
      <c r="V310" s="22" t="str">
        <f>RISK进展队列GEO回末测序数据整理!F309</f>
        <v>A1b</v>
      </c>
      <c r="W310" s="22" t="str">
        <f>IF(RISK进展队列GEO回末测序数据整理!I309="Macroscopic inflammation","Macro",IF(RISK进展队列GEO回末测序数据整理!I309="Microscopic inflammation","Micro",TRIM(RISK进展队列GEO回末测序数据整理!I309)))</f>
        <v>NA</v>
      </c>
      <c r="X310" s="22" t="str">
        <f>IF(RISK进展队列GEO回末测序数据整理!J309=1,"Yes",IF(RISK进展队列GEO回末测序数据整理!J309=0,"No","N/A"))</f>
        <v>N/A</v>
      </c>
      <c r="Y310" s="22">
        <f>IF(Q310="","",IF(COUNTIF($Q$3:Q310,Q310)=1,1,0))</f>
        <v>1</v>
      </c>
      <c r="Z310" s="22">
        <f>IF(Q310="","",IF(COUNTIFS($Q$3:Q310,Q310,$R$3:R310,R310)=1,1,0))</f>
        <v>1</v>
      </c>
    </row>
    <row r="311" spans="16:26" x14ac:dyDescent="0.4">
      <c r="P311" s="22" t="str">
        <f>RISK进展队列GEO回末测序数据整理!A310</f>
        <v>GSM1598716</v>
      </c>
      <c r="Q311" s="22" t="str">
        <f>RISK进展队列GEO回末测序数据整理!B310</f>
        <v>CCFA_Risk_309</v>
      </c>
      <c r="R311" s="22" t="str">
        <f>IF(LOWER(TRIM(RISK进展队列GEO回末测序数据整理!G310))="not ibd","Not IBD",TRIM(RISK进展队列GEO回末测序数据整理!G310))</f>
        <v>CD</v>
      </c>
      <c r="S311" s="22" t="str">
        <f>IF(LOWER(TRIM(RISK进展队列GEO回末测序数据整理!H310))="not ibd","Not IBD",TRIM(RISK进展队列GEO回末测序数据整理!H310))</f>
        <v>cCD</v>
      </c>
      <c r="T311" s="22" t="str">
        <f>IF(RISK进展队列GEO回末测序数据整理!D310="女","女性",IF(RISK进展队列GEO回末测序数据整理!D310="男","男性",TRIM(RISK进展队列GEO回末测序数据整理!D310)))</f>
        <v>女性</v>
      </c>
      <c r="U311" s="22">
        <f>RISK进展队列GEO回末测序数据整理!E310</f>
        <v>13.67</v>
      </c>
      <c r="V311" s="22" t="str">
        <f>RISK进展队列GEO回末测序数据整理!F310</f>
        <v>A1b</v>
      </c>
      <c r="W311" s="22" t="str">
        <f>IF(RISK进展队列GEO回末测序数据整理!I310="Macroscopic inflammation","Macro",IF(RISK进展队列GEO回末测序数据整理!I310="Microscopic inflammation","Micro",TRIM(RISK进展队列GEO回末测序数据整理!I310)))</f>
        <v>Micro</v>
      </c>
      <c r="X311" s="22" t="str">
        <f>IF(RISK进展队列GEO回末测序数据整理!J310=1,"Yes",IF(RISK进展队列GEO回末测序数据整理!J310=0,"No","N/A"))</f>
        <v>No</v>
      </c>
      <c r="Y311" s="22">
        <f>IF(Q311="","",IF(COUNTIF($Q$3:Q311,Q311)=1,1,0))</f>
        <v>1</v>
      </c>
      <c r="Z311" s="22">
        <f>IF(Q311="","",IF(COUNTIFS($Q$3:Q311,Q311,$R$3:R311,R311)=1,1,0))</f>
        <v>1</v>
      </c>
    </row>
    <row r="312" spans="16:26" x14ac:dyDescent="0.4">
      <c r="P312" s="22" t="str">
        <f>RISK进展队列GEO回末测序数据整理!A311</f>
        <v>GSM1598717</v>
      </c>
      <c r="Q312" s="22" t="str">
        <f>RISK进展队列GEO回末测序数据整理!B311</f>
        <v>CCFA_Risk_310</v>
      </c>
      <c r="R312" s="22" t="str">
        <f>IF(LOWER(TRIM(RISK进展队列GEO回末测序数据整理!G311))="not ibd","Not IBD",TRIM(RISK进展队列GEO回末测序数据整理!G311))</f>
        <v>CD</v>
      </c>
      <c r="S312" s="22" t="str">
        <f>IF(LOWER(TRIM(RISK进展队列GEO回末测序数据整理!H311))="not ibd","Not IBD",TRIM(RISK进展队列GEO回末测序数据整理!H311))</f>
        <v>iCD</v>
      </c>
      <c r="T312" s="22" t="str">
        <f>IF(RISK进展队列GEO回末测序数据整理!D311="女","女性",IF(RISK进展队列GEO回末测序数据整理!D311="男","男性",TRIM(RISK进展队列GEO回末测序数据整理!D311)))</f>
        <v>女性</v>
      </c>
      <c r="U312" s="22">
        <f>RISK进展队列GEO回末测序数据整理!E311</f>
        <v>13.17</v>
      </c>
      <c r="V312" s="22" t="str">
        <f>RISK进展队列GEO回末测序数据整理!F311</f>
        <v>A1b</v>
      </c>
      <c r="W312" s="22" t="str">
        <f>IF(RISK进展队列GEO回末测序数据整理!I311="Macroscopic inflammation","Macro",IF(RISK进展队列GEO回末测序数据整理!I311="Microscopic inflammation","Micro",TRIM(RISK进展队列GEO回末测序数据整理!I311)))</f>
        <v>Macro</v>
      </c>
      <c r="X312" s="22" t="str">
        <f>IF(RISK进展队列GEO回末测序数据整理!J311=1,"Yes",IF(RISK进展队列GEO回末测序数据整理!J311=0,"No","N/A"))</f>
        <v>No</v>
      </c>
      <c r="Y312" s="22">
        <f>IF(Q312="","",IF(COUNTIF($Q$3:Q312,Q312)=1,1,0))</f>
        <v>1</v>
      </c>
      <c r="Z312" s="22">
        <f>IF(Q312="","",IF(COUNTIFS($Q$3:Q312,Q312,$R$3:R312,R312)=1,1,0))</f>
        <v>1</v>
      </c>
    </row>
    <row r="313" spans="16:26" x14ac:dyDescent="0.4">
      <c r="P313" s="22" t="str">
        <f>RISK进展队列GEO回末测序数据整理!A312</f>
        <v>GSM1598718</v>
      </c>
      <c r="Q313" s="22" t="str">
        <f>RISK进展队列GEO回末测序数据整理!B312</f>
        <v>CCFA_Risk_311</v>
      </c>
      <c r="R313" s="22" t="str">
        <f>IF(LOWER(TRIM(RISK进展队列GEO回末测序数据整理!G312))="not ibd","Not IBD",TRIM(RISK进展队列GEO回末测序数据整理!G312))</f>
        <v>CD</v>
      </c>
      <c r="S313" s="22" t="str">
        <f>IF(LOWER(TRIM(RISK进展队列GEO回末测序数据整理!H312))="not ibd","Not IBD",TRIM(RISK进展队列GEO回末测序数据整理!H312))</f>
        <v>cCD</v>
      </c>
      <c r="T313" s="22" t="str">
        <f>IF(RISK进展队列GEO回末测序数据整理!D312="女","女性",IF(RISK进展队列GEO回末测序数据整理!D312="男","男性",TRIM(RISK进展队列GEO回末测序数据整理!D312)))</f>
        <v>男性</v>
      </c>
      <c r="U313" s="22">
        <f>RISK进展队列GEO回末测序数据整理!E312</f>
        <v>13.83</v>
      </c>
      <c r="V313" s="22" t="str">
        <f>RISK进展队列GEO回末测序数据整理!F312</f>
        <v>A1b</v>
      </c>
      <c r="W313" s="22" t="str">
        <f>IF(RISK进展队列GEO回末测序数据整理!I312="Macroscopic inflammation","Macro",IF(RISK进展队列GEO回末测序数据整理!I312="Microscopic inflammation","Micro",TRIM(RISK进展队列GEO回末测序数据整理!I312)))</f>
        <v>Micro</v>
      </c>
      <c r="X313" s="22" t="str">
        <f>IF(RISK进展队列GEO回末测序数据整理!J312=1,"Yes",IF(RISK进展队列GEO回末测序数据整理!J312=0,"No","N/A"))</f>
        <v>No</v>
      </c>
      <c r="Y313" s="22">
        <f>IF(Q313="","",IF(COUNTIF($Q$3:Q313,Q313)=1,1,0))</f>
        <v>1</v>
      </c>
      <c r="Z313" s="22">
        <f>IF(Q313="","",IF(COUNTIFS($Q$3:Q313,Q313,$R$3:R313,R313)=1,1,0))</f>
        <v>1</v>
      </c>
    </row>
    <row r="314" spans="16:26" x14ac:dyDescent="0.4">
      <c r="P314" s="22" t="str">
        <f>RISK进展队列GEO回末测序数据整理!A313</f>
        <v>GSM1598719</v>
      </c>
      <c r="Q314" s="22" t="str">
        <f>RISK进展队列GEO回末测序数据整理!B313</f>
        <v>CCFA_Risk_312</v>
      </c>
      <c r="R314" s="22" t="str">
        <f>IF(LOWER(TRIM(RISK进展队列GEO回末测序数据整理!G313))="not ibd","Not IBD",TRIM(RISK进展队列GEO回末测序数据整理!G313))</f>
        <v>CD</v>
      </c>
      <c r="S314" s="22" t="str">
        <f>IF(LOWER(TRIM(RISK进展队列GEO回末测序数据整理!H313))="not ibd","Not IBD",TRIM(RISK进展队列GEO回末测序数据整理!H313))</f>
        <v>cCD</v>
      </c>
      <c r="T314" s="22" t="str">
        <f>IF(RISK进展队列GEO回末测序数据整理!D313="女","女性",IF(RISK进展队列GEO回末测序数据整理!D313="男","男性",TRIM(RISK进展队列GEO回末测序数据整理!D313)))</f>
        <v>男性</v>
      </c>
      <c r="U314" s="22">
        <f>RISK进展队列GEO回末测序数据整理!E313</f>
        <v>10.67</v>
      </c>
      <c r="V314" s="22" t="str">
        <f>RISK进展队列GEO回末测序数据整理!F313</f>
        <v>A1b</v>
      </c>
      <c r="W314" s="22" t="str">
        <f>IF(RISK进展队列GEO回末测序数据整理!I313="Macroscopic inflammation","Macro",IF(RISK进展队列GEO回末测序数据整理!I313="Microscopic inflammation","Micro",TRIM(RISK进展队列GEO回末测序数据整理!I313)))</f>
        <v>Micro</v>
      </c>
      <c r="X314" s="22" t="str">
        <f>IF(RISK进展队列GEO回末测序数据整理!J313=1,"Yes",IF(RISK进展队列GEO回末测序数据整理!J313=0,"No","N/A"))</f>
        <v>No</v>
      </c>
      <c r="Y314" s="22">
        <f>IF(Q314="","",IF(COUNTIF($Q$3:Q314,Q314)=1,1,0))</f>
        <v>1</v>
      </c>
      <c r="Z314" s="22">
        <f>IF(Q314="","",IF(COUNTIFS($Q$3:Q314,Q314,$R$3:R314,R314)=1,1,0))</f>
        <v>1</v>
      </c>
    </row>
    <row r="315" spans="16:26" x14ac:dyDescent="0.4">
      <c r="P315" s="22" t="str">
        <f>RISK进展队列GEO回末测序数据整理!A314</f>
        <v>GSM1598720</v>
      </c>
      <c r="Q315" s="22" t="str">
        <f>RISK进展队列GEO回末测序数据整理!B314</f>
        <v>CCFA_Risk_313</v>
      </c>
      <c r="R315" s="22" t="str">
        <f>IF(LOWER(TRIM(RISK进展队列GEO回末测序数据整理!G314))="not ibd","Not IBD",TRIM(RISK进展队列GEO回末测序数据整理!G314))</f>
        <v>CD</v>
      </c>
      <c r="S315" s="22" t="str">
        <f>IF(LOWER(TRIM(RISK进展队列GEO回末测序数据整理!H314))="not ibd","Not IBD",TRIM(RISK进展队列GEO回末测序数据整理!H314))</f>
        <v>iCD</v>
      </c>
      <c r="T315" s="22" t="str">
        <f>IF(RISK进展队列GEO回末测序数据整理!D314="女","女性",IF(RISK进展队列GEO回末测序数据整理!D314="男","男性",TRIM(RISK进展队列GEO回末测序数据整理!D314)))</f>
        <v>女性</v>
      </c>
      <c r="U315" s="22">
        <f>RISK进展队列GEO回末测序数据整理!E314</f>
        <v>5.42</v>
      </c>
      <c r="V315" s="22" t="str">
        <f>RISK进展队列GEO回末测序数据整理!F314</f>
        <v>A1a</v>
      </c>
      <c r="W315" s="22" t="str">
        <f>IF(RISK进展队列GEO回末测序数据整理!I314="Macroscopic inflammation","Macro",IF(RISK进展队列GEO回末测序数据整理!I314="Microscopic inflammation","Micro",TRIM(RISK进展队列GEO回末测序数据整理!I314)))</f>
        <v>Macro</v>
      </c>
      <c r="X315" s="22" t="str">
        <f>IF(RISK进展队列GEO回末测序数据整理!J314=1,"Yes",IF(RISK进展队列GEO回末测序数据整理!J314=0,"No","N/A"))</f>
        <v>No</v>
      </c>
      <c r="Y315" s="22">
        <f>IF(Q315="","",IF(COUNTIF($Q$3:Q315,Q315)=1,1,0))</f>
        <v>1</v>
      </c>
      <c r="Z315" s="22">
        <f>IF(Q315="","",IF(COUNTIFS($Q$3:Q315,Q315,$R$3:R315,R315)=1,1,0))</f>
        <v>1</v>
      </c>
    </row>
    <row r="316" spans="16:26" x14ac:dyDescent="0.4">
      <c r="P316" s="22" t="str">
        <f>RISK进展队列GEO回末测序数据整理!A315</f>
        <v>GSM1598721</v>
      </c>
      <c r="Q316" s="22" t="str">
        <f>RISK进展队列GEO回末测序数据整理!B315</f>
        <v>CCFA_Risk_314</v>
      </c>
      <c r="R316" s="22" t="str">
        <f>IF(LOWER(TRIM(RISK进展队列GEO回末测序数据整理!G315))="not ibd","Not IBD",TRIM(RISK进展队列GEO回末测序数据整理!G315))</f>
        <v>CD</v>
      </c>
      <c r="S316" s="22" t="str">
        <f>IF(LOWER(TRIM(RISK进展队列GEO回末测序数据整理!H315))="not ibd","Not IBD",TRIM(RISK进展队列GEO回末测序数据整理!H315))</f>
        <v>cCD</v>
      </c>
      <c r="T316" s="22" t="str">
        <f>IF(RISK进展队列GEO回末测序数据整理!D315="女","女性",IF(RISK进展队列GEO回末测序数据整理!D315="男","男性",TRIM(RISK进展队列GEO回末测序数据整理!D315)))</f>
        <v>男性</v>
      </c>
      <c r="U316" s="22">
        <f>RISK进展队列GEO回末测序数据整理!E315</f>
        <v>11</v>
      </c>
      <c r="V316" s="22" t="str">
        <f>RISK进展队列GEO回末测序数据整理!F315</f>
        <v>A1b</v>
      </c>
      <c r="W316" s="22" t="str">
        <f>IF(RISK进展队列GEO回末测序数据整理!I315="Macroscopic inflammation","Macro",IF(RISK进展队列GEO回末测序数据整理!I315="Microscopic inflammation","Micro",TRIM(RISK进展队列GEO回末测序数据整理!I315)))</f>
        <v>Normal</v>
      </c>
      <c r="X316" s="22" t="str">
        <f>IF(RISK进展队列GEO回末测序数据整理!J315=1,"Yes",IF(RISK进展队列GEO回末测序数据整理!J315=0,"No","N/A"))</f>
        <v>No</v>
      </c>
      <c r="Y316" s="22">
        <f>IF(Q316="","",IF(COUNTIF($Q$3:Q316,Q316)=1,1,0))</f>
        <v>1</v>
      </c>
      <c r="Z316" s="22">
        <f>IF(Q316="","",IF(COUNTIFS($Q$3:Q316,Q316,$R$3:R316,R316)=1,1,0))</f>
        <v>1</v>
      </c>
    </row>
    <row r="317" spans="16:26" x14ac:dyDescent="0.4">
      <c r="P317" s="22" t="str">
        <f>RISK进展队列GEO回末测序数据整理!A316</f>
        <v>GSM1598722</v>
      </c>
      <c r="Q317" s="22" t="str">
        <f>RISK进展队列GEO回末测序数据整理!B316</f>
        <v>CCFA_Risk_315</v>
      </c>
      <c r="R317" s="22" t="str">
        <f>IF(LOWER(TRIM(RISK进展队列GEO回末测序数据整理!G316))="not ibd","Not IBD",TRIM(RISK进展队列GEO回末测序数据整理!G316))</f>
        <v>UC</v>
      </c>
      <c r="S317" s="22" t="str">
        <f>IF(LOWER(TRIM(RISK进展队列GEO回末测序数据整理!H316))="not ibd","Not IBD",TRIM(RISK进展队列GEO回末测序数据整理!H316))</f>
        <v>UC</v>
      </c>
      <c r="T317" s="22" t="str">
        <f>IF(RISK进展队列GEO回末测序数据整理!D316="女","女性",IF(RISK进展队列GEO回末测序数据整理!D316="男","男性",TRIM(RISK进展队列GEO回末测序数据整理!D316)))</f>
        <v>女性</v>
      </c>
      <c r="U317" s="22">
        <f>RISK进展队列GEO回末测序数据整理!E316</f>
        <v>14.92</v>
      </c>
      <c r="V317" s="22" t="str">
        <f>RISK进展队列GEO回末测序数据整理!F316</f>
        <v>A1b</v>
      </c>
      <c r="W317" s="22" t="str">
        <f>IF(RISK进展队列GEO回末测序数据整理!I316="Macroscopic inflammation","Macro",IF(RISK进展队列GEO回末测序数据整理!I316="Microscopic inflammation","Micro",TRIM(RISK进展队列GEO回末测序数据整理!I316)))</f>
        <v>NA</v>
      </c>
      <c r="X317" s="22" t="str">
        <f>IF(RISK进展队列GEO回末测序数据整理!J316=1,"Yes",IF(RISK进展队列GEO回末测序数据整理!J316=0,"No","N/A"))</f>
        <v>N/A</v>
      </c>
      <c r="Y317" s="22">
        <f>IF(Q317="","",IF(COUNTIF($Q$3:Q317,Q317)=1,1,0))</f>
        <v>1</v>
      </c>
      <c r="Z317" s="22">
        <f>IF(Q317="","",IF(COUNTIFS($Q$3:Q317,Q317,$R$3:R317,R317)=1,1,0))</f>
        <v>1</v>
      </c>
    </row>
    <row r="318" spans="16:26" x14ac:dyDescent="0.4">
      <c r="P318" s="22" t="str">
        <f>RISK进展队列GEO回末测序数据整理!A317</f>
        <v>GSM1598723</v>
      </c>
      <c r="Q318" s="22" t="str">
        <f>RISK进展队列GEO回末测序数据整理!B317</f>
        <v>CCFA_Risk_316</v>
      </c>
      <c r="R318" s="22" t="str">
        <f>IF(LOWER(TRIM(RISK进展队列GEO回末测序数据整理!G317))="not ibd","Not IBD",TRIM(RISK进展队列GEO回末测序数据整理!G317))</f>
        <v>UC</v>
      </c>
      <c r="S318" s="22" t="str">
        <f>IF(LOWER(TRIM(RISK进展队列GEO回末测序数据整理!H317))="not ibd","Not IBD",TRIM(RISK进展队列GEO回末测序数据整理!H317))</f>
        <v>UC</v>
      </c>
      <c r="T318" s="22" t="str">
        <f>IF(RISK进展队列GEO回末测序数据整理!D317="女","女性",IF(RISK进展队列GEO回末测序数据整理!D317="男","男性",TRIM(RISK进展队列GEO回末测序数据整理!D317)))</f>
        <v>女性</v>
      </c>
      <c r="U318" s="22">
        <f>RISK进展队列GEO回末测序数据整理!E317</f>
        <v>16.91</v>
      </c>
      <c r="V318" s="22" t="str">
        <f>RISK进展队列GEO回末测序数据整理!F317</f>
        <v>A1b</v>
      </c>
      <c r="W318" s="22" t="str">
        <f>IF(RISK进展队列GEO回末测序数据整理!I317="Macroscopic inflammation","Macro",IF(RISK进展队列GEO回末测序数据整理!I317="Microscopic inflammation","Micro",TRIM(RISK进展队列GEO回末测序数据整理!I317)))</f>
        <v>NA</v>
      </c>
      <c r="X318" s="22" t="str">
        <f>IF(RISK进展队列GEO回末测序数据整理!J317=1,"Yes",IF(RISK进展队列GEO回末测序数据整理!J317=0,"No","N/A"))</f>
        <v>N/A</v>
      </c>
      <c r="Y318" s="22">
        <f>IF(Q318="","",IF(COUNTIF($Q$3:Q318,Q318)=1,1,0))</f>
        <v>1</v>
      </c>
      <c r="Z318" s="22">
        <f>IF(Q318="","",IF(COUNTIFS($Q$3:Q318,Q318,$R$3:R318,R318)=1,1,0))</f>
        <v>1</v>
      </c>
    </row>
    <row r="319" spans="16:26" x14ac:dyDescent="0.4">
      <c r="P319" s="22" t="str">
        <f>RISK进展队列GEO回末测序数据整理!A318</f>
        <v>GSM1598724</v>
      </c>
      <c r="Q319" s="22" t="str">
        <f>RISK进展队列GEO回末测序数据整理!B318</f>
        <v>CCFA_Risk_317</v>
      </c>
      <c r="R319" s="22" t="str">
        <f>IF(LOWER(TRIM(RISK进展队列GEO回末测序数据整理!G318))="not ibd","Not IBD",TRIM(RISK进展队列GEO回末测序数据整理!G318))</f>
        <v>CD</v>
      </c>
      <c r="S319" s="22" t="str">
        <f>IF(LOWER(TRIM(RISK进展队列GEO回末测序数据整理!H318))="not ibd","Not IBD",TRIM(RISK进展队列GEO回末测序数据整理!H318))</f>
        <v>cCD</v>
      </c>
      <c r="T319" s="22" t="str">
        <f>IF(RISK进展队列GEO回末测序数据整理!D318="女","女性",IF(RISK进展队列GEO回末测序数据整理!D318="男","男性",TRIM(RISK进展队列GEO回末测序数据整理!D318)))</f>
        <v>男性</v>
      </c>
      <c r="U319" s="22">
        <f>RISK进展队列GEO回末测序数据整理!E318</f>
        <v>10.5</v>
      </c>
      <c r="V319" s="22" t="str">
        <f>RISK进展队列GEO回末测序数据整理!F318</f>
        <v>A1b</v>
      </c>
      <c r="W319" s="22" t="str">
        <f>IF(RISK进展队列GEO回末测序数据整理!I318="Macroscopic inflammation","Macro",IF(RISK进展队列GEO回末测序数据整理!I318="Microscopic inflammation","Micro",TRIM(RISK进展队列GEO回末测序数据整理!I318)))</f>
        <v>Micro</v>
      </c>
      <c r="X319" s="22" t="str">
        <f>IF(RISK进展队列GEO回末测序数据整理!J318=1,"Yes",IF(RISK进展队列GEO回末测序数据整理!J318=0,"No","N/A"))</f>
        <v>No</v>
      </c>
      <c r="Y319" s="22">
        <f>IF(Q319="","",IF(COUNTIF($Q$3:Q319,Q319)=1,1,0))</f>
        <v>1</v>
      </c>
      <c r="Z319" s="22">
        <f>IF(Q319="","",IF(COUNTIFS($Q$3:Q319,Q319,$R$3:R319,R319)=1,1,0))</f>
        <v>1</v>
      </c>
    </row>
    <row r="320" spans="16:26" x14ac:dyDescent="0.4">
      <c r="P320" s="22" t="str">
        <f>RISK进展队列GEO回末测序数据整理!A319</f>
        <v>GSM1598725</v>
      </c>
      <c r="Q320" s="22" t="str">
        <f>RISK进展队列GEO回末测序数据整理!B319</f>
        <v>CCFA_Risk_318</v>
      </c>
      <c r="R320" s="22" t="str">
        <f>IF(LOWER(TRIM(RISK进展队列GEO回末测序数据整理!G319))="not ibd","Not IBD",TRIM(RISK进展队列GEO回末测序数据整理!G319))</f>
        <v>UC</v>
      </c>
      <c r="S320" s="22" t="str">
        <f>IF(LOWER(TRIM(RISK进展队列GEO回末测序数据整理!H319))="not ibd","Not IBD",TRIM(RISK进展队列GEO回末测序数据整理!H319))</f>
        <v>UC</v>
      </c>
      <c r="T320" s="22" t="str">
        <f>IF(RISK进展队列GEO回末测序数据整理!D319="女","女性",IF(RISK进展队列GEO回末测序数据整理!D319="男","男性",TRIM(RISK进展队列GEO回末测序数据整理!D319)))</f>
        <v>女性</v>
      </c>
      <c r="U320" s="22">
        <f>RISK进展队列GEO回末测序数据整理!E319</f>
        <v>4.5</v>
      </c>
      <c r="V320" s="22" t="str">
        <f>RISK进展队列GEO回末测序数据整理!F319</f>
        <v>A1a</v>
      </c>
      <c r="W320" s="22" t="str">
        <f>IF(RISK进展队列GEO回末测序数据整理!I319="Macroscopic inflammation","Macro",IF(RISK进展队列GEO回末测序数据整理!I319="Microscopic inflammation","Micro",TRIM(RISK进展队列GEO回末测序数据整理!I319)))</f>
        <v>NA</v>
      </c>
      <c r="X320" s="22" t="str">
        <f>IF(RISK进展队列GEO回末测序数据整理!J319=1,"Yes",IF(RISK进展队列GEO回末测序数据整理!J319=0,"No","N/A"))</f>
        <v>N/A</v>
      </c>
      <c r="Y320" s="22">
        <f>IF(Q320="","",IF(COUNTIF($Q$3:Q320,Q320)=1,1,0))</f>
        <v>1</v>
      </c>
      <c r="Z320" s="22">
        <f>IF(Q320="","",IF(COUNTIFS($Q$3:Q320,Q320,$R$3:R320,R320)=1,1,0))</f>
        <v>1</v>
      </c>
    </row>
    <row r="321" spans="16:26" x14ac:dyDescent="0.4">
      <c r="P321" s="22" t="str">
        <f>RISK进展队列GEO回末测序数据整理!A320</f>
        <v>GSM1598726</v>
      </c>
      <c r="Q321" s="22" t="str">
        <f>RISK进展队列GEO回末测序数据整理!B320</f>
        <v>CCFA_Risk_319</v>
      </c>
      <c r="R321" s="22" t="str">
        <f>IF(LOWER(TRIM(RISK进展队列GEO回末测序数据整理!G320))="not ibd","Not IBD",TRIM(RISK进展队列GEO回末测序数据整理!G320))</f>
        <v>UC</v>
      </c>
      <c r="S321" s="22" t="str">
        <f>IF(LOWER(TRIM(RISK进展队列GEO回末测序数据整理!H320))="not ibd","Not IBD",TRIM(RISK进展队列GEO回末测序数据整理!H320))</f>
        <v>UC</v>
      </c>
      <c r="T321" s="22" t="str">
        <f>IF(RISK进展队列GEO回末测序数据整理!D320="女","女性",IF(RISK进展队列GEO回末测序数据整理!D320="男","男性",TRIM(RISK进展队列GEO回末测序数据整理!D320)))</f>
        <v>男性</v>
      </c>
      <c r="U321" s="22">
        <f>RISK进展队列GEO回末测序数据整理!E320</f>
        <v>11</v>
      </c>
      <c r="V321" s="22" t="str">
        <f>RISK进展队列GEO回末测序数据整理!F320</f>
        <v>A1b</v>
      </c>
      <c r="W321" s="22" t="str">
        <f>IF(RISK进展队列GEO回末测序数据整理!I320="Macroscopic inflammation","Macro",IF(RISK进展队列GEO回末测序数据整理!I320="Microscopic inflammation","Micro",TRIM(RISK进展队列GEO回末测序数据整理!I320)))</f>
        <v>NA</v>
      </c>
      <c r="X321" s="22" t="str">
        <f>IF(RISK进展队列GEO回末测序数据整理!J320=1,"Yes",IF(RISK进展队列GEO回末测序数据整理!J320=0,"No","N/A"))</f>
        <v>N/A</v>
      </c>
      <c r="Y321" s="22">
        <f>IF(Q321="","",IF(COUNTIF($Q$3:Q321,Q321)=1,1,0))</f>
        <v>1</v>
      </c>
      <c r="Z321" s="22">
        <f>IF(Q321="","",IF(COUNTIFS($Q$3:Q321,Q321,$R$3:R321,R321)=1,1,0))</f>
        <v>1</v>
      </c>
    </row>
    <row r="322" spans="16:26" x14ac:dyDescent="0.4">
      <c r="P322" s="22" t="str">
        <f>RISK进展队列GEO回末测序数据整理!A321</f>
        <v>GSM1598727</v>
      </c>
      <c r="Q322" s="22" t="str">
        <f>RISK进展队列GEO回末测序数据整理!B321</f>
        <v>CCFA_Risk_320</v>
      </c>
      <c r="R322" s="22" t="str">
        <f>IF(LOWER(TRIM(RISK进展队列GEO回末测序数据整理!G321))="not ibd","Not IBD",TRIM(RISK进展队列GEO回末测序数据整理!G321))</f>
        <v>CD</v>
      </c>
      <c r="S322" s="22" t="str">
        <f>IF(LOWER(TRIM(RISK进展队列GEO回末测序数据整理!H321))="not ibd","Not IBD",TRIM(RISK进展队列GEO回末测序数据整理!H321))</f>
        <v>cCD</v>
      </c>
      <c r="T322" s="22" t="str">
        <f>IF(RISK进展队列GEO回末测序数据整理!D321="女","女性",IF(RISK进展队列GEO回末测序数据整理!D321="男","男性",TRIM(RISK进展队列GEO回末测序数据整理!D321)))</f>
        <v>女性</v>
      </c>
      <c r="U322" s="22">
        <f>RISK进展队列GEO回末测序数据整理!E321</f>
        <v>15.75</v>
      </c>
      <c r="V322" s="22" t="str">
        <f>RISK进展队列GEO回末测序数据整理!F321</f>
        <v>A1b</v>
      </c>
      <c r="W322" s="22" t="str">
        <f>IF(RISK进展队列GEO回末测序数据整理!I321="Macroscopic inflammation","Macro",IF(RISK进展队列GEO回末测序数据整理!I321="Microscopic inflammation","Micro",TRIM(RISK进展队列GEO回末测序数据整理!I321)))</f>
        <v>Normal</v>
      </c>
      <c r="X322" s="22" t="str">
        <f>IF(RISK进展队列GEO回末测序数据整理!J321=1,"Yes",IF(RISK进展队列GEO回末测序数据整理!J321=0,"No","N/A"))</f>
        <v>No</v>
      </c>
      <c r="Y322" s="22">
        <f>IF(Q322="","",IF(COUNTIF($Q$3:Q322,Q322)=1,1,0))</f>
        <v>1</v>
      </c>
      <c r="Z322" s="22">
        <f>IF(Q322="","",IF(COUNTIFS($Q$3:Q322,Q322,$R$3:R322,R322)=1,1,0))</f>
        <v>1</v>
      </c>
    </row>
    <row r="323" spans="16:26" x14ac:dyDescent="0.4">
      <c r="P323" s="22" t="str">
        <f>RISK进展队列GEO回末测序数据整理!A322</f>
        <v>GSM1598728</v>
      </c>
      <c r="Q323" s="22" t="str">
        <f>RISK进展队列GEO回末测序数据整理!B322</f>
        <v>CCFA_Risk_321</v>
      </c>
      <c r="R323" s="22" t="str">
        <f>IF(LOWER(TRIM(RISK进展队列GEO回末测序数据整理!G322))="not ibd","Not IBD",TRIM(RISK进展队列GEO回末测序数据整理!G322))</f>
        <v>CD</v>
      </c>
      <c r="S323" s="22" t="str">
        <f>IF(LOWER(TRIM(RISK进展队列GEO回末测序数据整理!H322))="not ibd","Not IBD",TRIM(RISK进展队列GEO回末测序数据整理!H322))</f>
        <v>cCD</v>
      </c>
      <c r="T323" s="22" t="str">
        <f>IF(RISK进展队列GEO回末测序数据整理!D322="女","女性",IF(RISK进展队列GEO回末测序数据整理!D322="男","男性",TRIM(RISK进展队列GEO回末测序数据整理!D322)))</f>
        <v>女性</v>
      </c>
      <c r="U323" s="22">
        <f>RISK进展队列GEO回末测序数据整理!E322</f>
        <v>9.58</v>
      </c>
      <c r="V323" s="22" t="str">
        <f>RISK进展队列GEO回末测序数据整理!F322</f>
        <v>A1a</v>
      </c>
      <c r="W323" s="22" t="str">
        <f>IF(RISK进展队列GEO回末测序数据整理!I322="Macroscopic inflammation","Macro",IF(RISK进展队列GEO回末测序数据整理!I322="Microscopic inflammation","Micro",TRIM(RISK进展队列GEO回末测序数据整理!I322)))</f>
        <v>Normal</v>
      </c>
      <c r="X323" s="22" t="str">
        <f>IF(RISK进展队列GEO回末测序数据整理!J322=1,"Yes",IF(RISK进展队列GEO回末测序数据整理!J322=0,"No","N/A"))</f>
        <v>No</v>
      </c>
      <c r="Y323" s="22">
        <f>IF(Q323="","",IF(COUNTIF($Q$3:Q323,Q323)=1,1,0))</f>
        <v>1</v>
      </c>
      <c r="Z323" s="22">
        <f>IF(Q323="","",IF(COUNTIFS($Q$3:Q323,Q323,$R$3:R323,R323)=1,1,0))</f>
        <v>1</v>
      </c>
    </row>
    <row r="324" spans="16:26" x14ac:dyDescent="0.4">
      <c r="P324" s="22" t="str">
        <f>RISK进展队列GEO回末测序数据整理!A323</f>
        <v>GSM1598729</v>
      </c>
      <c r="Q324" s="22" t="str">
        <f>RISK进展队列GEO回末测序数据整理!B323</f>
        <v>CCFA_Risk_322</v>
      </c>
      <c r="R324" s="22" t="str">
        <f>IF(LOWER(TRIM(RISK进展队列GEO回末测序数据整理!G323))="not ibd","Not IBD",TRIM(RISK进展队列GEO回末测序数据整理!G323))</f>
        <v>UC</v>
      </c>
      <c r="S324" s="22" t="str">
        <f>IF(LOWER(TRIM(RISK进展队列GEO回末测序数据整理!H323))="not ibd","Not IBD",TRIM(RISK进展队列GEO回末测序数据整理!H323))</f>
        <v>UC</v>
      </c>
      <c r="T324" s="22" t="str">
        <f>IF(RISK进展队列GEO回末测序数据整理!D323="女","女性",IF(RISK进展队列GEO回末测序数据整理!D323="男","男性",TRIM(RISK进展队列GEO回末测序数据整理!D323)))</f>
        <v>男性</v>
      </c>
      <c r="U324" s="22">
        <f>RISK进展队列GEO回末测序数据整理!E323</f>
        <v>14.17</v>
      </c>
      <c r="V324" s="22" t="str">
        <f>RISK进展队列GEO回末测序数据整理!F323</f>
        <v>A1b</v>
      </c>
      <c r="W324" s="22" t="str">
        <f>IF(RISK进展队列GEO回末测序数据整理!I323="Macroscopic inflammation","Macro",IF(RISK进展队列GEO回末测序数据整理!I323="Microscopic inflammation","Micro",TRIM(RISK进展队列GEO回末测序数据整理!I323)))</f>
        <v>NA</v>
      </c>
      <c r="X324" s="22" t="str">
        <f>IF(RISK进展队列GEO回末测序数据整理!J323=1,"Yes",IF(RISK进展队列GEO回末测序数据整理!J323=0,"No","N/A"))</f>
        <v>N/A</v>
      </c>
      <c r="Y324" s="22">
        <f>IF(Q324="","",IF(COUNTIF($Q$3:Q324,Q324)=1,1,0))</f>
        <v>1</v>
      </c>
      <c r="Z324" s="22">
        <f>IF(Q324="","",IF(COUNTIFS($Q$3:Q324,Q324,$R$3:R324,R324)=1,1,0))</f>
        <v>1</v>
      </c>
    </row>
  </sheetData>
  <mergeCells count="2">
    <mergeCell ref="A59:I59"/>
    <mergeCell ref="A2:I2"/>
  </mergeCells>
  <phoneticPr fontId="1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表注</vt:lpstr>
      <vt:lpstr>RISK进展队列GEO回末测序数据整理</vt:lpstr>
      <vt:lpstr>RISK队列基线数据特征</vt:lpstr>
      <vt:lpstr>RISK回末数据统计特征</vt:lpstr>
      <vt:lpstr>RISK队列相关统计数据</vt:lpstr>
      <vt:lpstr>RISK回末数据统计特征!Print_Area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马泽凯</dc:creator>
  <cp:lastModifiedBy>泽凯 马</cp:lastModifiedBy>
  <dcterms:created xsi:type="dcterms:W3CDTF">2015-06-05T18:19:34Z</dcterms:created>
  <dcterms:modified xsi:type="dcterms:W3CDTF">2026-09-10T11:35:53Z</dcterms:modified>
</cp:coreProperties>
</file>